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nNitrogenConcentration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<sst xmlns="http://schemas.openxmlformats.org/spreadsheetml/2006/main" count="7" uniqueCount="7">
  <si>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剖面深度</t>
  </si>
  <si>
    <t>铵态氮浓度</t>
  </si>
  <si>
    <t>硝态氮浓度</t>
  </si>
  <si>
    <t>体积含水量</t>
  </si>
  <si>
    <t>温度</t>
  </si>
  <si>
    <t>大气压</t>
  </si>
  <si>
    <t>土壤容重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</si>
</sst>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等线"/>
      <charset val="134"/>
    </font>
    <font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/>
    </xf>
    <xf numFmtId="0" fontId="2" fillId="0" borderId="0" xfId="0" applyFont="1">
      <alignment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2"/>
          <c:order val="1"/>
          <c:tx>
            <c:strRef>
              <c:f>"土壤水分"</c:f>
              <c:strCache>
                <c:ptCount val="1"/>
                <c:pt idx="0">
                  <c:v>土壤水分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InNitrogenConcentration!$J$2:$J$180</c:f>
              <c:numCache>
                <c:formatCode>General</c:formatCode>
                <c:ptCount val="179"/>
                <c:pt idx="0">
                  <c:v>33.085542</c:v>
                </c:pt>
                <c:pt idx="1">
                  <c:v>33.0863539</c:v>
                </c:pt>
                <c:pt idx="2">
                  <c:v>33.0839708</c:v>
                </c:pt>
                <c:pt idx="3">
                  <c:v>33.0793878</c:v>
                </c:pt>
                <c:pt idx="4">
                  <c:v>33.0709385</c:v>
                </c:pt>
                <c:pt idx="5">
                  <c:v>33.0634259</c:v>
                </c:pt>
                <c:pt idx="6">
                  <c:v>33.0568672</c:v>
                </c:pt>
                <c:pt idx="7">
                  <c:v>33.0512882</c:v>
                </c:pt>
                <c:pt idx="8">
                  <c:v>33.0467202</c:v>
                </c:pt>
                <c:pt idx="9">
                  <c:v>33.043194</c:v>
                </c:pt>
                <c:pt idx="10">
                  <c:v>33.040736</c:v>
                </c:pt>
                <c:pt idx="11">
                  <c:v>33.039367</c:v>
                </c:pt>
                <c:pt idx="12">
                  <c:v>33.039101</c:v>
                </c:pt>
                <c:pt idx="13">
                  <c:v>33.0419121</c:v>
                </c:pt>
                <c:pt idx="14">
                  <c:v>33.0491418</c:v>
                </c:pt>
                <c:pt idx="15">
                  <c:v>33.0606654</c:v>
                </c:pt>
                <c:pt idx="16">
                  <c:v>33.0762715</c:v>
                </c:pt>
                <c:pt idx="17">
                  <c:v>33.0956774</c:v>
                </c:pt>
                <c:pt idx="18">
                  <c:v>33.1185454</c:v>
                </c:pt>
                <c:pt idx="19">
                  <c:v>33.1444996</c:v>
                </c:pt>
                <c:pt idx="20">
                  <c:v>33.173141</c:v>
                </c:pt>
                <c:pt idx="21">
                  <c:v>33.2040625</c:v>
                </c:pt>
                <c:pt idx="22">
                  <c:v>33.2368608</c:v>
                </c:pt>
                <c:pt idx="23">
                  <c:v>33.2799544</c:v>
                </c:pt>
                <c:pt idx="24">
                  <c:v>33.3246654</c:v>
                </c:pt>
                <c:pt idx="25">
                  <c:v>33.370362</c:v>
                </c:pt>
                <c:pt idx="26">
                  <c:v>33.4164978</c:v>
                </c:pt>
                <c:pt idx="27">
                  <c:v>29.3185639</c:v>
                </c:pt>
                <c:pt idx="28">
                  <c:v>29.4262276</c:v>
                </c:pt>
                <c:pt idx="29">
                  <c:v>29.5154991</c:v>
                </c:pt>
                <c:pt idx="30">
                  <c:v>29.5898459</c:v>
                </c:pt>
                <c:pt idx="31">
                  <c:v>29.6530298</c:v>
                </c:pt>
                <c:pt idx="32">
                  <c:v>29.7082226</c:v>
                </c:pt>
                <c:pt idx="33">
                  <c:v>29.7577982</c:v>
                </c:pt>
                <c:pt idx="34">
                  <c:v>29.8034457</c:v>
                </c:pt>
                <c:pt idx="35">
                  <c:v>23.8387967</c:v>
                </c:pt>
                <c:pt idx="36">
                  <c:v>23.7516493</c:v>
                </c:pt>
                <c:pt idx="37">
                  <c:v>23.656904</c:v>
                </c:pt>
                <c:pt idx="38">
                  <c:v>23.5588171</c:v>
                </c:pt>
                <c:pt idx="39">
                  <c:v>23.3634946</c:v>
                </c:pt>
                <c:pt idx="40">
                  <c:v>23.1956267</c:v>
                </c:pt>
                <c:pt idx="41">
                  <c:v>23.0688602</c:v>
                </c:pt>
                <c:pt idx="42">
                  <c:v>22.984188</c:v>
                </c:pt>
                <c:pt idx="43">
                  <c:v>22.9344978</c:v>
                </c:pt>
                <c:pt idx="44">
                  <c:v>22.9096341</c:v>
                </c:pt>
                <c:pt idx="45">
                  <c:v>22.9010478</c:v>
                </c:pt>
                <c:pt idx="46">
                  <c:v>22.9020825</c:v>
                </c:pt>
                <c:pt idx="47">
                  <c:v>22.9071666</c:v>
                </c:pt>
                <c:pt idx="48">
                  <c:v>22.9139162</c:v>
                </c:pt>
                <c:pt idx="49">
                  <c:v>26.1944868</c:v>
                </c:pt>
                <c:pt idx="50">
                  <c:v>26.1891009</c:v>
                </c:pt>
                <c:pt idx="51">
                  <c:v>26.1864173</c:v>
                </c:pt>
                <c:pt idx="52">
                  <c:v>26.187484</c:v>
                </c:pt>
                <c:pt idx="53">
                  <c:v>26.1918378</c:v>
                </c:pt>
                <c:pt idx="54">
                  <c:v>26.2000924</c:v>
                </c:pt>
                <c:pt idx="55">
                  <c:v>26.2122692</c:v>
                </c:pt>
                <c:pt idx="56">
                  <c:v>26.2288553</c:v>
                </c:pt>
                <c:pt idx="57">
                  <c:v>26.2500852</c:v>
                </c:pt>
                <c:pt idx="58">
                  <c:v>26.2766243</c:v>
                </c:pt>
                <c:pt idx="59">
                  <c:v>34.9470777</c:v>
                </c:pt>
                <c:pt idx="60">
                  <c:v>34.5530643</c:v>
                </c:pt>
                <c:pt idx="61">
                  <c:v>34.1322794</c:v>
                </c:pt>
                <c:pt idx="62">
                  <c:v>33.6831902</c:v>
                </c:pt>
                <c:pt idx="63">
                  <c:v>33.20352</c:v>
                </c:pt>
                <c:pt idx="64">
                  <c:v>32.6918324</c:v>
                </c:pt>
                <c:pt idx="65">
                  <c:v>32.1476087</c:v>
                </c:pt>
                <c:pt idx="66">
                  <c:v>31.5690129</c:v>
                </c:pt>
                <c:pt idx="67">
                  <c:v>30.955746</c:v>
                </c:pt>
                <c:pt idx="68">
                  <c:v>30.3089549</c:v>
                </c:pt>
                <c:pt idx="69">
                  <c:v>29.6302097</c:v>
                </c:pt>
                <c:pt idx="70">
                  <c:v>28.9234658</c:v>
                </c:pt>
                <c:pt idx="71">
                  <c:v>28.194125</c:v>
                </c:pt>
                <c:pt idx="72">
                  <c:v>27.4497652</c:v>
                </c:pt>
                <c:pt idx="73">
                  <c:v>26.7007751</c:v>
                </c:pt>
                <c:pt idx="74">
                  <c:v>25.9609646</c:v>
                </c:pt>
                <c:pt idx="75">
                  <c:v>25.245729</c:v>
                </c:pt>
                <c:pt idx="76">
                  <c:v>24.5715723</c:v>
                </c:pt>
                <c:pt idx="77">
                  <c:v>23.955084</c:v>
                </c:pt>
                <c:pt idx="78">
                  <c:v>23.4119317</c:v>
                </c:pt>
                <c:pt idx="79">
                  <c:v>22.4591032</c:v>
                </c:pt>
                <c:pt idx="80">
                  <c:v>21.8046371</c:v>
                </c:pt>
                <c:pt idx="81">
                  <c:v>21.2654222</c:v>
                </c:pt>
                <c:pt idx="82">
                  <c:v>20.8421751</c:v>
                </c:pt>
                <c:pt idx="83">
                  <c:v>20.535008</c:v>
                </c:pt>
                <c:pt idx="84">
                  <c:v>20.3399055</c:v>
                </c:pt>
                <c:pt idx="85">
                  <c:v>20.2573281</c:v>
                </c:pt>
                <c:pt idx="86">
                  <c:v>20.2910707</c:v>
                </c:pt>
                <c:pt idx="87">
                  <c:v>20.2158881</c:v>
                </c:pt>
                <c:pt idx="88">
                  <c:v>20.0278307</c:v>
                </c:pt>
                <c:pt idx="89">
                  <c:v>19.9552246</c:v>
                </c:pt>
                <c:pt idx="90">
                  <c:v>19.766481</c:v>
                </c:pt>
                <c:pt idx="91">
                  <c:v>19.6962039</c:v>
                </c:pt>
                <c:pt idx="92">
                  <c:v>19.5059986</c:v>
                </c:pt>
                <c:pt idx="93">
                  <c:v>19.4380305</c:v>
                </c:pt>
                <c:pt idx="94">
                  <c:v>19.2463874</c:v>
                </c:pt>
                <c:pt idx="95">
                  <c:v>19.1803002</c:v>
                </c:pt>
                <c:pt idx="96">
                  <c:v>18.9867445</c:v>
                </c:pt>
                <c:pt idx="97">
                  <c:v>18.922537</c:v>
                </c:pt>
                <c:pt idx="98">
                  <c:v>18.7269635</c:v>
                </c:pt>
                <c:pt idx="99">
                  <c:v>18.6668055</c:v>
                </c:pt>
                <c:pt idx="100">
                  <c:v>18.4746204</c:v>
                </c:pt>
                <c:pt idx="101">
                  <c:v>18.4128412</c:v>
                </c:pt>
                <c:pt idx="102">
                  <c:v>18.2157877</c:v>
                </c:pt>
                <c:pt idx="103">
                  <c:v>18.1518893</c:v>
                </c:pt>
                <c:pt idx="104">
                  <c:v>17.9509027</c:v>
                </c:pt>
                <c:pt idx="105">
                  <c:v>17.8865858</c:v>
                </c:pt>
                <c:pt idx="106">
                  <c:v>17.6813907</c:v>
                </c:pt>
                <c:pt idx="107">
                  <c:v>17.6156728</c:v>
                </c:pt>
                <c:pt idx="108">
                  <c:v>17.4056473</c:v>
                </c:pt>
                <c:pt idx="109">
                  <c:v>17.3375876</c:v>
                </c:pt>
                <c:pt idx="110">
                  <c:v>17.1236598</c:v>
                </c:pt>
                <c:pt idx="111">
                  <c:v>17.0539671</c:v>
                </c:pt>
                <c:pt idx="112">
                  <c:v>16.8376932</c:v>
                </c:pt>
                <c:pt idx="113">
                  <c:v>16.7671341</c:v>
                </c:pt>
                <c:pt idx="114">
                  <c:v>16.5485489</c:v>
                </c:pt>
                <c:pt idx="115">
                  <c:v>16.1849084</c:v>
                </c:pt>
                <c:pt idx="116">
                  <c:v>15.9688958</c:v>
                </c:pt>
                <c:pt idx="117">
                  <c:v>15.8986234</c:v>
                </c:pt>
                <c:pt idx="118">
                  <c:v>15.6856631</c:v>
                </c:pt>
                <c:pt idx="119">
                  <c:v>15.6146313</c:v>
                </c:pt>
                <c:pt idx="120">
                  <c:v>15.4064434</c:v>
                </c:pt>
                <c:pt idx="121">
                  <c:v>15.3360176</c:v>
                </c:pt>
                <c:pt idx="122">
                  <c:v>15.134422</c:v>
                </c:pt>
                <c:pt idx="123">
                  <c:v>15.065183</c:v>
                </c:pt>
                <c:pt idx="124">
                  <c:v>14.8720272</c:v>
                </c:pt>
                <c:pt idx="125">
                  <c:v>14.8044661</c:v>
                </c:pt>
                <c:pt idx="126">
                  <c:v>14.6208944</c:v>
                </c:pt>
                <c:pt idx="127">
                  <c:v>14.555745</c:v>
                </c:pt>
                <c:pt idx="128">
                  <c:v>14.382018</c:v>
                </c:pt>
                <c:pt idx="129">
                  <c:v>14.3632639</c:v>
                </c:pt>
                <c:pt idx="130">
                  <c:v>13.9483659</c:v>
                </c:pt>
                <c:pt idx="131">
                  <c:v>13.9282385</c:v>
                </c:pt>
                <c:pt idx="132">
                  <c:v>13.5650508</c:v>
                </c:pt>
                <c:pt idx="133">
                  <c:v>13.5438654</c:v>
                </c:pt>
                <c:pt idx="134">
                  <c:v>13.2222105</c:v>
                </c:pt>
                <c:pt idx="135">
                  <c:v>13.2001461</c:v>
                </c:pt>
                <c:pt idx="136">
                  <c:v>12.9089185</c:v>
                </c:pt>
                <c:pt idx="137">
                  <c:v>12.8860868</c:v>
                </c:pt>
                <c:pt idx="138">
                  <c:v>12.6136027</c:v>
                </c:pt>
                <c:pt idx="139">
                  <c:v>12.5894838</c:v>
                </c:pt>
                <c:pt idx="140">
                  <c:v>12.3230933</c:v>
                </c:pt>
                <c:pt idx="141">
                  <c:v>12.2972943</c:v>
                </c:pt>
                <c:pt idx="142">
                  <c:v>12.515791</c:v>
                </c:pt>
                <c:pt idx="143">
                  <c:v>12.490781</c:v>
                </c:pt>
                <c:pt idx="144">
                  <c:v>12.7132214</c:v>
                </c:pt>
                <c:pt idx="145">
                  <c:v>12.6872333</c:v>
                </c:pt>
                <c:pt idx="146">
                  <c:v>12.4133127</c:v>
                </c:pt>
                <c:pt idx="147">
                  <c:v>12.3845163</c:v>
                </c:pt>
                <c:pt idx="148">
                  <c:v>12.1049833</c:v>
                </c:pt>
                <c:pt idx="149">
                  <c:v>12.0706479</c:v>
                </c:pt>
                <c:pt idx="150">
                  <c:v>11.7582332</c:v>
                </c:pt>
                <c:pt idx="151">
                  <c:v>11.7111531</c:v>
                </c:pt>
                <c:pt idx="152">
                  <c:v>11.9570181</c:v>
                </c:pt>
                <c:pt idx="153">
                  <c:v>12.4191091</c:v>
                </c:pt>
                <c:pt idx="154">
                  <c:v>12.6384261</c:v>
                </c:pt>
                <c:pt idx="155">
                  <c:v>13.1396939</c:v>
                </c:pt>
                <c:pt idx="156">
                  <c:v>13.4112823</c:v>
                </c:pt>
                <c:pt idx="157">
                  <c:v>14.0889894</c:v>
                </c:pt>
                <c:pt idx="158">
                  <c:v>14.4838903</c:v>
                </c:pt>
                <c:pt idx="159">
                  <c:v>14.4274216</c:v>
                </c:pt>
                <c:pt idx="160">
                  <c:v>14.8629838</c:v>
                </c:pt>
                <c:pt idx="161">
                  <c:v>15.8580856</c:v>
                </c:pt>
                <c:pt idx="162">
                  <c:v>17.3704649</c:v>
                </c:pt>
                <c:pt idx="163">
                  <c:v>18.3727811</c:v>
                </c:pt>
                <c:pt idx="164">
                  <c:v>19.7130458</c:v>
                </c:pt>
                <c:pt idx="165">
                  <c:v>20.5144819</c:v>
                </c:pt>
                <c:pt idx="166">
                  <c:v>20.8468997</c:v>
                </c:pt>
                <c:pt idx="167">
                  <c:v>20.7502904</c:v>
                </c:pt>
                <c:pt idx="168">
                  <c:v>21.0724156</c:v>
                </c:pt>
                <c:pt idx="169">
                  <c:v>20.9796027</c:v>
                </c:pt>
                <c:pt idx="170">
                  <c:v>21.2926858</c:v>
                </c:pt>
                <c:pt idx="171">
                  <c:v>21.2025096</c:v>
                </c:pt>
                <c:pt idx="172">
                  <c:v>21.5071449</c:v>
                </c:pt>
                <c:pt idx="173">
                  <c:v>21.4195566</c:v>
                </c:pt>
                <c:pt idx="174">
                  <c:v>21.7158094</c:v>
                </c:pt>
                <c:pt idx="175">
                  <c:v>21.6307589</c:v>
                </c:pt>
                <c:pt idx="176">
                  <c:v>21.9193014</c:v>
                </c:pt>
                <c:pt idx="177">
                  <c:v>21.8369851</c:v>
                </c:pt>
                <c:pt idx="178">
                  <c:v>22.1182503</c:v>
                </c:pt>
              </c:numCache>
            </c:numRef>
          </c:xVal>
          <c:yVal>
            <c:numRef>
              <c:f>[1]InNitrogenConcentration!$A$2:$A$180</c:f>
              <c:numCache>
                <c:formatCode>General</c:formatCode>
                <c:ptCount val="17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12</c:v>
                </c:pt>
                <c:pt idx="14">
                  <c:v>14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32.5</c:v>
                </c:pt>
                <c:pt idx="24">
                  <c:v>35</c:v>
                </c:pt>
                <c:pt idx="25">
                  <c:v>37.5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70</c:v>
                </c:pt>
                <c:pt idx="33">
                  <c:v>75</c:v>
                </c:pt>
                <c:pt idx="34">
                  <c:v>80</c:v>
                </c:pt>
                <c:pt idx="35">
                  <c:v>85</c:v>
                </c:pt>
                <c:pt idx="36">
                  <c:v>90</c:v>
                </c:pt>
                <c:pt idx="37">
                  <c:v>95</c:v>
                </c:pt>
                <c:pt idx="38">
                  <c:v>100</c:v>
                </c:pt>
                <c:pt idx="39">
                  <c:v>110</c:v>
                </c:pt>
                <c:pt idx="40">
                  <c:v>120</c:v>
                </c:pt>
                <c:pt idx="41">
                  <c:v>130</c:v>
                </c:pt>
                <c:pt idx="42">
                  <c:v>140</c:v>
                </c:pt>
                <c:pt idx="43">
                  <c:v>150</c:v>
                </c:pt>
                <c:pt idx="44">
                  <c:v>160</c:v>
                </c:pt>
                <c:pt idx="45">
                  <c:v>170</c:v>
                </c:pt>
                <c:pt idx="46">
                  <c:v>180</c:v>
                </c:pt>
                <c:pt idx="47">
                  <c:v>190</c:v>
                </c:pt>
                <c:pt idx="48">
                  <c:v>200</c:v>
                </c:pt>
                <c:pt idx="49">
                  <c:v>210</c:v>
                </c:pt>
                <c:pt idx="50">
                  <c:v>220</c:v>
                </c:pt>
                <c:pt idx="51">
                  <c:v>230</c:v>
                </c:pt>
                <c:pt idx="52">
                  <c:v>240</c:v>
                </c:pt>
                <c:pt idx="53">
                  <c:v>250</c:v>
                </c:pt>
                <c:pt idx="54">
                  <c:v>260</c:v>
                </c:pt>
                <c:pt idx="55">
                  <c:v>270</c:v>
                </c:pt>
                <c:pt idx="56">
                  <c:v>280</c:v>
                </c:pt>
                <c:pt idx="57">
                  <c:v>290</c:v>
                </c:pt>
                <c:pt idx="58">
                  <c:v>300</c:v>
                </c:pt>
                <c:pt idx="59">
                  <c:v>310</c:v>
                </c:pt>
                <c:pt idx="60">
                  <c:v>320</c:v>
                </c:pt>
                <c:pt idx="61">
                  <c:v>330</c:v>
                </c:pt>
                <c:pt idx="62">
                  <c:v>340</c:v>
                </c:pt>
                <c:pt idx="63">
                  <c:v>350</c:v>
                </c:pt>
                <c:pt idx="64">
                  <c:v>360</c:v>
                </c:pt>
                <c:pt idx="65">
                  <c:v>370</c:v>
                </c:pt>
                <c:pt idx="66">
                  <c:v>380</c:v>
                </c:pt>
                <c:pt idx="67">
                  <c:v>390</c:v>
                </c:pt>
                <c:pt idx="68">
                  <c:v>400</c:v>
                </c:pt>
                <c:pt idx="69">
                  <c:v>410</c:v>
                </c:pt>
                <c:pt idx="70">
                  <c:v>420</c:v>
                </c:pt>
                <c:pt idx="71">
                  <c:v>430</c:v>
                </c:pt>
                <c:pt idx="72">
                  <c:v>440</c:v>
                </c:pt>
                <c:pt idx="73">
                  <c:v>450</c:v>
                </c:pt>
                <c:pt idx="74">
                  <c:v>460</c:v>
                </c:pt>
                <c:pt idx="75">
                  <c:v>470</c:v>
                </c:pt>
                <c:pt idx="76">
                  <c:v>480</c:v>
                </c:pt>
                <c:pt idx="77">
                  <c:v>490</c:v>
                </c:pt>
                <c:pt idx="78">
                  <c:v>500</c:v>
                </c:pt>
                <c:pt idx="79">
                  <c:v>510</c:v>
                </c:pt>
                <c:pt idx="80">
                  <c:v>520</c:v>
                </c:pt>
                <c:pt idx="81">
                  <c:v>530</c:v>
                </c:pt>
                <c:pt idx="82">
                  <c:v>540</c:v>
                </c:pt>
                <c:pt idx="83">
                  <c:v>550</c:v>
                </c:pt>
                <c:pt idx="84">
                  <c:v>560</c:v>
                </c:pt>
                <c:pt idx="85">
                  <c:v>570</c:v>
                </c:pt>
                <c:pt idx="86">
                  <c:v>580</c:v>
                </c:pt>
                <c:pt idx="87">
                  <c:v>590</c:v>
                </c:pt>
                <c:pt idx="88">
                  <c:v>600</c:v>
                </c:pt>
                <c:pt idx="89">
                  <c:v>610</c:v>
                </c:pt>
                <c:pt idx="90">
                  <c:v>620</c:v>
                </c:pt>
                <c:pt idx="91">
                  <c:v>630</c:v>
                </c:pt>
                <c:pt idx="92">
                  <c:v>640</c:v>
                </c:pt>
                <c:pt idx="93">
                  <c:v>650</c:v>
                </c:pt>
                <c:pt idx="94">
                  <c:v>660</c:v>
                </c:pt>
                <c:pt idx="95">
                  <c:v>670</c:v>
                </c:pt>
                <c:pt idx="96">
                  <c:v>680</c:v>
                </c:pt>
                <c:pt idx="97">
                  <c:v>690</c:v>
                </c:pt>
                <c:pt idx="98">
                  <c:v>700</c:v>
                </c:pt>
                <c:pt idx="99">
                  <c:v>710</c:v>
                </c:pt>
                <c:pt idx="100">
                  <c:v>720</c:v>
                </c:pt>
                <c:pt idx="101">
                  <c:v>730</c:v>
                </c:pt>
                <c:pt idx="102">
                  <c:v>740</c:v>
                </c:pt>
                <c:pt idx="103">
                  <c:v>750</c:v>
                </c:pt>
                <c:pt idx="104">
                  <c:v>760</c:v>
                </c:pt>
                <c:pt idx="105">
                  <c:v>770</c:v>
                </c:pt>
                <c:pt idx="106">
                  <c:v>780</c:v>
                </c:pt>
                <c:pt idx="107">
                  <c:v>790</c:v>
                </c:pt>
                <c:pt idx="108">
                  <c:v>800</c:v>
                </c:pt>
                <c:pt idx="109">
                  <c:v>810</c:v>
                </c:pt>
                <c:pt idx="110">
                  <c:v>820</c:v>
                </c:pt>
                <c:pt idx="111">
                  <c:v>830</c:v>
                </c:pt>
                <c:pt idx="112">
                  <c:v>840</c:v>
                </c:pt>
                <c:pt idx="113">
                  <c:v>850</c:v>
                </c:pt>
                <c:pt idx="114">
                  <c:v>860</c:v>
                </c:pt>
                <c:pt idx="115">
                  <c:v>870</c:v>
                </c:pt>
                <c:pt idx="116">
                  <c:v>880</c:v>
                </c:pt>
                <c:pt idx="117">
                  <c:v>890</c:v>
                </c:pt>
                <c:pt idx="118">
                  <c:v>900</c:v>
                </c:pt>
                <c:pt idx="119">
                  <c:v>910</c:v>
                </c:pt>
                <c:pt idx="120">
                  <c:v>920</c:v>
                </c:pt>
                <c:pt idx="121">
                  <c:v>930</c:v>
                </c:pt>
                <c:pt idx="122">
                  <c:v>940</c:v>
                </c:pt>
                <c:pt idx="123">
                  <c:v>950</c:v>
                </c:pt>
                <c:pt idx="124">
                  <c:v>960</c:v>
                </c:pt>
                <c:pt idx="125">
                  <c:v>970</c:v>
                </c:pt>
                <c:pt idx="126">
                  <c:v>980</c:v>
                </c:pt>
                <c:pt idx="127">
                  <c:v>990</c:v>
                </c:pt>
                <c:pt idx="128">
                  <c:v>1000</c:v>
                </c:pt>
                <c:pt idx="129">
                  <c:v>1020</c:v>
                </c:pt>
                <c:pt idx="130">
                  <c:v>1040</c:v>
                </c:pt>
                <c:pt idx="131">
                  <c:v>1060</c:v>
                </c:pt>
                <c:pt idx="132">
                  <c:v>1080</c:v>
                </c:pt>
                <c:pt idx="133">
                  <c:v>1100</c:v>
                </c:pt>
                <c:pt idx="134">
                  <c:v>1120</c:v>
                </c:pt>
                <c:pt idx="135">
                  <c:v>1140</c:v>
                </c:pt>
                <c:pt idx="136">
                  <c:v>1160</c:v>
                </c:pt>
                <c:pt idx="137">
                  <c:v>1180</c:v>
                </c:pt>
                <c:pt idx="138">
                  <c:v>1200</c:v>
                </c:pt>
                <c:pt idx="139">
                  <c:v>1220</c:v>
                </c:pt>
                <c:pt idx="140">
                  <c:v>1240</c:v>
                </c:pt>
                <c:pt idx="141">
                  <c:v>1260</c:v>
                </c:pt>
                <c:pt idx="142">
                  <c:v>1280</c:v>
                </c:pt>
                <c:pt idx="143">
                  <c:v>1300</c:v>
                </c:pt>
                <c:pt idx="144">
                  <c:v>1320</c:v>
                </c:pt>
                <c:pt idx="145">
                  <c:v>1340</c:v>
                </c:pt>
                <c:pt idx="146">
                  <c:v>1360</c:v>
                </c:pt>
                <c:pt idx="147">
                  <c:v>1380</c:v>
                </c:pt>
                <c:pt idx="148">
                  <c:v>1400</c:v>
                </c:pt>
                <c:pt idx="149">
                  <c:v>1420</c:v>
                </c:pt>
                <c:pt idx="150">
                  <c:v>1440</c:v>
                </c:pt>
                <c:pt idx="151">
                  <c:v>1460</c:v>
                </c:pt>
                <c:pt idx="152">
                  <c:v>1480</c:v>
                </c:pt>
                <c:pt idx="153">
                  <c:v>1500</c:v>
                </c:pt>
                <c:pt idx="154">
                  <c:v>1520</c:v>
                </c:pt>
                <c:pt idx="155">
                  <c:v>1540</c:v>
                </c:pt>
                <c:pt idx="156">
                  <c:v>1560</c:v>
                </c:pt>
                <c:pt idx="157">
                  <c:v>1580</c:v>
                </c:pt>
                <c:pt idx="158">
                  <c:v>1600</c:v>
                </c:pt>
                <c:pt idx="159">
                  <c:v>1620</c:v>
                </c:pt>
                <c:pt idx="160">
                  <c:v>1640</c:v>
                </c:pt>
                <c:pt idx="161">
                  <c:v>1660</c:v>
                </c:pt>
                <c:pt idx="162">
                  <c:v>1680</c:v>
                </c:pt>
                <c:pt idx="163">
                  <c:v>1700</c:v>
                </c:pt>
                <c:pt idx="164">
                  <c:v>1720</c:v>
                </c:pt>
                <c:pt idx="165">
                  <c:v>1740</c:v>
                </c:pt>
                <c:pt idx="166">
                  <c:v>1760</c:v>
                </c:pt>
                <c:pt idx="167">
                  <c:v>1780</c:v>
                </c:pt>
                <c:pt idx="168">
                  <c:v>1800</c:v>
                </c:pt>
                <c:pt idx="169">
                  <c:v>1820</c:v>
                </c:pt>
                <c:pt idx="170">
                  <c:v>1840</c:v>
                </c:pt>
                <c:pt idx="171">
                  <c:v>1860</c:v>
                </c:pt>
                <c:pt idx="172">
                  <c:v>1880</c:v>
                </c:pt>
                <c:pt idx="173">
                  <c:v>1900</c:v>
                </c:pt>
                <c:pt idx="174">
                  <c:v>1920</c:v>
                </c:pt>
                <c:pt idx="175">
                  <c:v>1940</c:v>
                </c:pt>
                <c:pt idx="176">
                  <c:v>1960</c:v>
                </c:pt>
                <c:pt idx="177">
                  <c:v>1980</c:v>
                </c:pt>
                <c:pt idx="178">
                  <c:v>2000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"温度"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InNitrogenConcentration!$E$2:$E$180</c:f>
              <c:numCache>
                <c:formatCode>General</c:formatCode>
                <c:ptCount val="179"/>
                <c:pt idx="0">
                  <c:v>1.748651</c:v>
                </c:pt>
                <c:pt idx="1">
                  <c:v>1.895960607</c:v>
                </c:pt>
                <c:pt idx="2">
                  <c:v>2.04334838</c:v>
                </c:pt>
                <c:pt idx="3">
                  <c:v>2.337025776</c:v>
                </c:pt>
                <c:pt idx="4">
                  <c:v>2.916941967</c:v>
                </c:pt>
                <c:pt idx="5">
                  <c:v>3.48145049</c:v>
                </c:pt>
                <c:pt idx="6">
                  <c:v>4.027079413</c:v>
                </c:pt>
                <c:pt idx="7">
                  <c:v>4.551583242</c:v>
                </c:pt>
                <c:pt idx="8">
                  <c:v>5.053471929</c:v>
                </c:pt>
                <c:pt idx="9">
                  <c:v>5.531758449</c:v>
                </c:pt>
                <c:pt idx="10">
                  <c:v>5.985802746</c:v>
                </c:pt>
                <c:pt idx="11">
                  <c:v>6.415222611</c:v>
                </c:pt>
                <c:pt idx="12">
                  <c:v>6.819840064</c:v>
                </c:pt>
                <c:pt idx="13">
                  <c:v>7.554668063</c:v>
                </c:pt>
                <c:pt idx="14">
                  <c:v>8.191936829</c:v>
                </c:pt>
                <c:pt idx="15">
                  <c:v>8.735164293</c:v>
                </c:pt>
                <c:pt idx="16">
                  <c:v>9.189340409</c:v>
                </c:pt>
                <c:pt idx="17">
                  <c:v>9.560590623</c:v>
                </c:pt>
                <c:pt idx="18">
                  <c:v>9.855862317</c:v>
                </c:pt>
                <c:pt idx="19">
                  <c:v>10.08263208</c:v>
                </c:pt>
                <c:pt idx="20">
                  <c:v>10.24863768</c:v>
                </c:pt>
                <c:pt idx="21">
                  <c:v>10.36164011</c:v>
                </c:pt>
                <c:pt idx="22">
                  <c:v>10.42922003</c:v>
                </c:pt>
                <c:pt idx="23">
                  <c:v>10.46001182</c:v>
                </c:pt>
                <c:pt idx="24">
                  <c:v>10.44421111</c:v>
                </c:pt>
                <c:pt idx="25">
                  <c:v>10.39346144</c:v>
                </c:pt>
                <c:pt idx="26">
                  <c:v>10.31783342</c:v>
                </c:pt>
                <c:pt idx="27">
                  <c:v>10.12186341</c:v>
                </c:pt>
                <c:pt idx="28">
                  <c:v>9.910347757</c:v>
                </c:pt>
                <c:pt idx="29">
                  <c:v>9.709765827</c:v>
                </c:pt>
                <c:pt idx="30">
                  <c:v>9.533353954</c:v>
                </c:pt>
                <c:pt idx="31">
                  <c:v>9.38579512</c:v>
                </c:pt>
                <c:pt idx="32">
                  <c:v>9.266889979</c:v>
                </c:pt>
                <c:pt idx="33">
                  <c:v>9.174101165</c:v>
                </c:pt>
                <c:pt idx="34">
                  <c:v>9.104152171</c:v>
                </c:pt>
                <c:pt idx="35">
                  <c:v>9.035911412</c:v>
                </c:pt>
                <c:pt idx="36">
                  <c:v>8.985460798</c:v>
                </c:pt>
                <c:pt idx="37">
                  <c:v>8.949602156</c:v>
                </c:pt>
                <c:pt idx="38">
                  <c:v>8.92587254</c:v>
                </c:pt>
                <c:pt idx="39">
                  <c:v>8.909024698</c:v>
                </c:pt>
                <c:pt idx="40">
                  <c:v>8.92336492</c:v>
                </c:pt>
                <c:pt idx="41">
                  <c:v>8.962627829</c:v>
                </c:pt>
                <c:pt idx="42">
                  <c:v>9.022414306</c:v>
                </c:pt>
                <c:pt idx="43">
                  <c:v>9.099372971</c:v>
                </c:pt>
                <c:pt idx="44">
                  <c:v>9.190802148</c:v>
                </c:pt>
                <c:pt idx="45">
                  <c:v>9.294444861</c:v>
                </c:pt>
                <c:pt idx="46">
                  <c:v>9.408407789</c:v>
                </c:pt>
                <c:pt idx="47">
                  <c:v>9.531120732</c:v>
                </c:pt>
                <c:pt idx="48">
                  <c:v>9.661249224</c:v>
                </c:pt>
                <c:pt idx="49">
                  <c:v>9.785214504</c:v>
                </c:pt>
                <c:pt idx="50">
                  <c:v>9.914504941</c:v>
                </c:pt>
                <c:pt idx="51">
                  <c:v>10.04835729</c:v>
                </c:pt>
                <c:pt idx="52">
                  <c:v>10.18610554</c:v>
                </c:pt>
                <c:pt idx="53">
                  <c:v>10.32717722</c:v>
                </c:pt>
                <c:pt idx="54">
                  <c:v>10.47103584</c:v>
                </c:pt>
                <c:pt idx="55">
                  <c:v>10.61715596</c:v>
                </c:pt>
                <c:pt idx="56">
                  <c:v>10.76501647</c:v>
                </c:pt>
                <c:pt idx="57">
                  <c:v>10.91409425</c:v>
                </c:pt>
                <c:pt idx="58">
                  <c:v>11.06387584</c:v>
                </c:pt>
                <c:pt idx="59">
                  <c:v>11.19059851</c:v>
                </c:pt>
                <c:pt idx="60">
                  <c:v>11.31768183</c:v>
                </c:pt>
                <c:pt idx="61">
                  <c:v>11.44473306</c:v>
                </c:pt>
                <c:pt idx="62">
                  <c:v>11.57137635</c:v>
                </c:pt>
                <c:pt idx="63">
                  <c:v>11.6972528</c:v>
                </c:pt>
                <c:pt idx="64">
                  <c:v>11.82201797</c:v>
                </c:pt>
                <c:pt idx="65">
                  <c:v>11.94534575</c:v>
                </c:pt>
                <c:pt idx="66">
                  <c:v>12.06693614</c:v>
                </c:pt>
                <c:pt idx="67">
                  <c:v>12.18650981</c:v>
                </c:pt>
                <c:pt idx="68">
                  <c:v>12.30380587</c:v>
                </c:pt>
                <c:pt idx="69">
                  <c:v>12.41858595</c:v>
                </c:pt>
                <c:pt idx="70">
                  <c:v>12.53063231</c:v>
                </c:pt>
                <c:pt idx="71">
                  <c:v>12.63974761</c:v>
                </c:pt>
                <c:pt idx="72">
                  <c:v>12.74575449</c:v>
                </c:pt>
                <c:pt idx="73">
                  <c:v>12.84849195</c:v>
                </c:pt>
                <c:pt idx="74">
                  <c:v>12.94781443</c:v>
                </c:pt>
                <c:pt idx="75">
                  <c:v>13.04359403</c:v>
                </c:pt>
                <c:pt idx="76">
                  <c:v>13.13571779</c:v>
                </c:pt>
                <c:pt idx="77">
                  <c:v>13.22408393</c:v>
                </c:pt>
                <c:pt idx="78">
                  <c:v>13.30859944</c:v>
                </c:pt>
                <c:pt idx="79">
                  <c:v>13.39768608</c:v>
                </c:pt>
                <c:pt idx="80">
                  <c:v>13.48302231</c:v>
                </c:pt>
                <c:pt idx="81">
                  <c:v>13.56452357</c:v>
                </c:pt>
                <c:pt idx="82">
                  <c:v>13.64210526</c:v>
                </c:pt>
                <c:pt idx="83">
                  <c:v>13.71567142</c:v>
                </c:pt>
                <c:pt idx="84">
                  <c:v>13.78511614</c:v>
                </c:pt>
                <c:pt idx="85">
                  <c:v>13.85034172</c:v>
                </c:pt>
                <c:pt idx="86">
                  <c:v>13.91134855</c:v>
                </c:pt>
                <c:pt idx="87">
                  <c:v>13.96855016</c:v>
                </c:pt>
                <c:pt idx="88">
                  <c:v>14.02215127</c:v>
                </c:pt>
                <c:pt idx="89">
                  <c:v>14.07195245</c:v>
                </c:pt>
                <c:pt idx="90">
                  <c:v>14.1182568</c:v>
                </c:pt>
                <c:pt idx="91">
                  <c:v>14.16092311</c:v>
                </c:pt>
                <c:pt idx="92">
                  <c:v>14.20030469</c:v>
                </c:pt>
                <c:pt idx="93">
                  <c:v>14.23622274</c:v>
                </c:pt>
                <c:pt idx="94">
                  <c:v>14.26908674</c:v>
                </c:pt>
                <c:pt idx="95">
                  <c:v>14.29866947</c:v>
                </c:pt>
                <c:pt idx="96">
                  <c:v>14.32544342</c:v>
                </c:pt>
                <c:pt idx="97">
                  <c:v>14.34911875</c:v>
                </c:pt>
                <c:pt idx="98">
                  <c:v>14.37024205</c:v>
                </c:pt>
                <c:pt idx="99">
                  <c:v>14.3878828</c:v>
                </c:pt>
                <c:pt idx="100">
                  <c:v>14.40328823</c:v>
                </c:pt>
                <c:pt idx="101">
                  <c:v>14.41603276</c:v>
                </c:pt>
                <c:pt idx="102">
                  <c:v>14.42679928</c:v>
                </c:pt>
                <c:pt idx="103">
                  <c:v>14.43505658</c:v>
                </c:pt>
                <c:pt idx="104">
                  <c:v>14.44159692</c:v>
                </c:pt>
                <c:pt idx="105">
                  <c:v>14.4457608</c:v>
                </c:pt>
                <c:pt idx="106">
                  <c:v>14.44848455</c:v>
                </c:pt>
                <c:pt idx="107">
                  <c:v>14.44894617</c:v>
                </c:pt>
                <c:pt idx="108">
                  <c:v>14.44825797</c:v>
                </c:pt>
                <c:pt idx="109">
                  <c:v>14.44539622</c:v>
                </c:pt>
                <c:pt idx="110">
                  <c:v>14.44168562</c:v>
                </c:pt>
                <c:pt idx="111">
                  <c:v>14.43585721</c:v>
                </c:pt>
                <c:pt idx="112">
                  <c:v>14.42950081</c:v>
                </c:pt>
                <c:pt idx="113">
                  <c:v>14.42104763</c:v>
                </c:pt>
                <c:pt idx="114">
                  <c:v>14.41251597</c:v>
                </c:pt>
                <c:pt idx="115">
                  <c:v>14.4044204</c:v>
                </c:pt>
                <c:pt idx="116">
                  <c:v>14.39423337</c:v>
                </c:pt>
                <c:pt idx="117">
                  <c:v>14.38149053</c:v>
                </c:pt>
                <c:pt idx="118">
                  <c:v>14.36969569</c:v>
                </c:pt>
                <c:pt idx="119">
                  <c:v>14.35529199</c:v>
                </c:pt>
                <c:pt idx="120">
                  <c:v>14.3423193</c:v>
                </c:pt>
                <c:pt idx="121">
                  <c:v>14.3265239</c:v>
                </c:pt>
                <c:pt idx="122">
                  <c:v>14.31267902</c:v>
                </c:pt>
                <c:pt idx="123">
                  <c:v>14.29574662</c:v>
                </c:pt>
                <c:pt idx="124">
                  <c:v>14.2812974</c:v>
                </c:pt>
                <c:pt idx="125">
                  <c:v>14.26346065</c:v>
                </c:pt>
                <c:pt idx="126">
                  <c:v>14.24864514</c:v>
                </c:pt>
                <c:pt idx="127">
                  <c:v>14.23010375</c:v>
                </c:pt>
                <c:pt idx="128">
                  <c:v>14.21513882</c:v>
                </c:pt>
                <c:pt idx="129">
                  <c:v>14.17270642</c:v>
                </c:pt>
                <c:pt idx="130">
                  <c:v>14.1468561</c:v>
                </c:pt>
                <c:pt idx="131">
                  <c:v>14.10221036</c:v>
                </c:pt>
                <c:pt idx="132">
                  <c:v>14.07798132</c:v>
                </c:pt>
                <c:pt idx="133">
                  <c:v>14.03204277</c:v>
                </c:pt>
                <c:pt idx="134">
                  <c:v>14.00993266</c:v>
                </c:pt>
                <c:pt idx="135">
                  <c:v>13.96334713</c:v>
                </c:pt>
                <c:pt idx="136">
                  <c:v>13.9436034</c:v>
                </c:pt>
                <c:pt idx="137">
                  <c:v>13.89673226</c:v>
                </c:pt>
                <c:pt idx="138">
                  <c:v>13.8793688</c:v>
                </c:pt>
                <c:pt idx="139">
                  <c:v>13.83224627</c:v>
                </c:pt>
                <c:pt idx="140">
                  <c:v>13.81704661</c:v>
                </c:pt>
                <c:pt idx="141">
                  <c:v>13.76897905</c:v>
                </c:pt>
                <c:pt idx="142">
                  <c:v>13.68905111</c:v>
                </c:pt>
                <c:pt idx="143">
                  <c:v>13.64281398</c:v>
                </c:pt>
                <c:pt idx="144">
                  <c:v>13.56683889</c:v>
                </c:pt>
                <c:pt idx="145">
                  <c:v>13.52321446</c:v>
                </c:pt>
                <c:pt idx="146">
                  <c:v>13.51115391</c:v>
                </c:pt>
                <c:pt idx="147">
                  <c:v>13.46758814</c:v>
                </c:pt>
                <c:pt idx="148">
                  <c:v>13.45737509</c:v>
                </c:pt>
                <c:pt idx="149">
                  <c:v>13.41253706</c:v>
                </c:pt>
                <c:pt idx="150">
                  <c:v>13.40243378</c:v>
                </c:pt>
                <c:pt idx="151">
                  <c:v>13.35335412</c:v>
                </c:pt>
                <c:pt idx="152">
                  <c:v>13.26713232</c:v>
                </c:pt>
                <c:pt idx="153">
                  <c:v>13.14410846</c:v>
                </c:pt>
                <c:pt idx="154">
                  <c:v>13.0558623</c:v>
                </c:pt>
                <c:pt idx="155">
                  <c:v>12.94216364</c:v>
                </c:pt>
                <c:pt idx="156">
                  <c:v>12.8597162</c:v>
                </c:pt>
                <c:pt idx="157">
                  <c:v>12.76136605</c:v>
                </c:pt>
                <c:pt idx="158">
                  <c:v>12.68872698</c:v>
                </c:pt>
                <c:pt idx="159">
                  <c:v>12.63380882</c:v>
                </c:pt>
                <c:pt idx="160">
                  <c:v>12.56557711</c:v>
                </c:pt>
                <c:pt idx="161">
                  <c:v>12.49410843</c:v>
                </c:pt>
                <c:pt idx="162">
                  <c:v>12.43003486</c:v>
                </c:pt>
                <c:pt idx="163">
                  <c:v>12.37486656</c:v>
                </c:pt>
                <c:pt idx="164">
                  <c:v>12.32215863</c:v>
                </c:pt>
                <c:pt idx="165">
                  <c:v>12.27239522</c:v>
                </c:pt>
                <c:pt idx="166">
                  <c:v>12.22454034</c:v>
                </c:pt>
                <c:pt idx="167">
                  <c:v>12.17771291</c:v>
                </c:pt>
                <c:pt idx="168">
                  <c:v>12.13113411</c:v>
                </c:pt>
                <c:pt idx="169">
                  <c:v>12.08521806</c:v>
                </c:pt>
                <c:pt idx="170">
                  <c:v>12.03953812</c:v>
                </c:pt>
                <c:pt idx="171">
                  <c:v>11.99445355</c:v>
                </c:pt>
                <c:pt idx="172">
                  <c:v>11.94958586</c:v>
                </c:pt>
                <c:pt idx="173">
                  <c:v>11.9052513</c:v>
                </c:pt>
                <c:pt idx="174">
                  <c:v>11.86111898</c:v>
                </c:pt>
                <c:pt idx="175">
                  <c:v>11.81746582</c:v>
                </c:pt>
                <c:pt idx="176">
                  <c:v>11.77400172</c:v>
                </c:pt>
                <c:pt idx="177">
                  <c:v>11.73097206</c:v>
                </c:pt>
                <c:pt idx="178">
                  <c:v>11.68811969</c:v>
                </c:pt>
              </c:numCache>
            </c:numRef>
          </c:xVal>
          <c:yVal>
            <c:numRef>
              <c:f>[1]InNitrogenConcentration!$A$2:$A$180</c:f>
              <c:numCache>
                <c:formatCode>General</c:formatCode>
                <c:ptCount val="17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12</c:v>
                </c:pt>
                <c:pt idx="14">
                  <c:v>14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32.5</c:v>
                </c:pt>
                <c:pt idx="24">
                  <c:v>35</c:v>
                </c:pt>
                <c:pt idx="25">
                  <c:v>37.5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70</c:v>
                </c:pt>
                <c:pt idx="33">
                  <c:v>75</c:v>
                </c:pt>
                <c:pt idx="34">
                  <c:v>80</c:v>
                </c:pt>
                <c:pt idx="35">
                  <c:v>85</c:v>
                </c:pt>
                <c:pt idx="36">
                  <c:v>90</c:v>
                </c:pt>
                <c:pt idx="37">
                  <c:v>95</c:v>
                </c:pt>
                <c:pt idx="38">
                  <c:v>100</c:v>
                </c:pt>
                <c:pt idx="39">
                  <c:v>110</c:v>
                </c:pt>
                <c:pt idx="40">
                  <c:v>120</c:v>
                </c:pt>
                <c:pt idx="41">
                  <c:v>130</c:v>
                </c:pt>
                <c:pt idx="42">
                  <c:v>140</c:v>
                </c:pt>
                <c:pt idx="43">
                  <c:v>150</c:v>
                </c:pt>
                <c:pt idx="44">
                  <c:v>160</c:v>
                </c:pt>
                <c:pt idx="45">
                  <c:v>170</c:v>
                </c:pt>
                <c:pt idx="46">
                  <c:v>180</c:v>
                </c:pt>
                <c:pt idx="47">
                  <c:v>190</c:v>
                </c:pt>
                <c:pt idx="48">
                  <c:v>200</c:v>
                </c:pt>
                <c:pt idx="49">
                  <c:v>210</c:v>
                </c:pt>
                <c:pt idx="50">
                  <c:v>220</c:v>
                </c:pt>
                <c:pt idx="51">
                  <c:v>230</c:v>
                </c:pt>
                <c:pt idx="52">
                  <c:v>240</c:v>
                </c:pt>
                <c:pt idx="53">
                  <c:v>250</c:v>
                </c:pt>
                <c:pt idx="54">
                  <c:v>260</c:v>
                </c:pt>
                <c:pt idx="55">
                  <c:v>270</c:v>
                </c:pt>
                <c:pt idx="56">
                  <c:v>280</c:v>
                </c:pt>
                <c:pt idx="57">
                  <c:v>290</c:v>
                </c:pt>
                <c:pt idx="58">
                  <c:v>300</c:v>
                </c:pt>
                <c:pt idx="59">
                  <c:v>310</c:v>
                </c:pt>
                <c:pt idx="60">
                  <c:v>320</c:v>
                </c:pt>
                <c:pt idx="61">
                  <c:v>330</c:v>
                </c:pt>
                <c:pt idx="62">
                  <c:v>340</c:v>
                </c:pt>
                <c:pt idx="63">
                  <c:v>350</c:v>
                </c:pt>
                <c:pt idx="64">
                  <c:v>360</c:v>
                </c:pt>
                <c:pt idx="65">
                  <c:v>370</c:v>
                </c:pt>
                <c:pt idx="66">
                  <c:v>380</c:v>
                </c:pt>
                <c:pt idx="67">
                  <c:v>390</c:v>
                </c:pt>
                <c:pt idx="68">
                  <c:v>400</c:v>
                </c:pt>
                <c:pt idx="69">
                  <c:v>410</c:v>
                </c:pt>
                <c:pt idx="70">
                  <c:v>420</c:v>
                </c:pt>
                <c:pt idx="71">
                  <c:v>430</c:v>
                </c:pt>
                <c:pt idx="72">
                  <c:v>440</c:v>
                </c:pt>
                <c:pt idx="73">
                  <c:v>450</c:v>
                </c:pt>
                <c:pt idx="74">
                  <c:v>460</c:v>
                </c:pt>
                <c:pt idx="75">
                  <c:v>470</c:v>
                </c:pt>
                <c:pt idx="76">
                  <c:v>480</c:v>
                </c:pt>
                <c:pt idx="77">
                  <c:v>490</c:v>
                </c:pt>
                <c:pt idx="78">
                  <c:v>500</c:v>
                </c:pt>
                <c:pt idx="79">
                  <c:v>510</c:v>
                </c:pt>
                <c:pt idx="80">
                  <c:v>520</c:v>
                </c:pt>
                <c:pt idx="81">
                  <c:v>530</c:v>
                </c:pt>
                <c:pt idx="82">
                  <c:v>540</c:v>
                </c:pt>
                <c:pt idx="83">
                  <c:v>550</c:v>
                </c:pt>
                <c:pt idx="84">
                  <c:v>560</c:v>
                </c:pt>
                <c:pt idx="85">
                  <c:v>570</c:v>
                </c:pt>
                <c:pt idx="86">
                  <c:v>580</c:v>
                </c:pt>
                <c:pt idx="87">
                  <c:v>590</c:v>
                </c:pt>
                <c:pt idx="88">
                  <c:v>600</c:v>
                </c:pt>
                <c:pt idx="89">
                  <c:v>610</c:v>
                </c:pt>
                <c:pt idx="90">
                  <c:v>620</c:v>
                </c:pt>
                <c:pt idx="91">
                  <c:v>630</c:v>
                </c:pt>
                <c:pt idx="92">
                  <c:v>640</c:v>
                </c:pt>
                <c:pt idx="93">
                  <c:v>650</c:v>
                </c:pt>
                <c:pt idx="94">
                  <c:v>660</c:v>
                </c:pt>
                <c:pt idx="95">
                  <c:v>670</c:v>
                </c:pt>
                <c:pt idx="96">
                  <c:v>680</c:v>
                </c:pt>
                <c:pt idx="97">
                  <c:v>690</c:v>
                </c:pt>
                <c:pt idx="98">
                  <c:v>700</c:v>
                </c:pt>
                <c:pt idx="99">
                  <c:v>710</c:v>
                </c:pt>
                <c:pt idx="100">
                  <c:v>720</c:v>
                </c:pt>
                <c:pt idx="101">
                  <c:v>730</c:v>
                </c:pt>
                <c:pt idx="102">
                  <c:v>740</c:v>
                </c:pt>
                <c:pt idx="103">
                  <c:v>750</c:v>
                </c:pt>
                <c:pt idx="104">
                  <c:v>760</c:v>
                </c:pt>
                <c:pt idx="105">
                  <c:v>770</c:v>
                </c:pt>
                <c:pt idx="106">
                  <c:v>780</c:v>
                </c:pt>
                <c:pt idx="107">
                  <c:v>790</c:v>
                </c:pt>
                <c:pt idx="108">
                  <c:v>800</c:v>
                </c:pt>
                <c:pt idx="109">
                  <c:v>810</c:v>
                </c:pt>
                <c:pt idx="110">
                  <c:v>820</c:v>
                </c:pt>
                <c:pt idx="111">
                  <c:v>830</c:v>
                </c:pt>
                <c:pt idx="112">
                  <c:v>840</c:v>
                </c:pt>
                <c:pt idx="113">
                  <c:v>850</c:v>
                </c:pt>
                <c:pt idx="114">
                  <c:v>860</c:v>
                </c:pt>
                <c:pt idx="115">
                  <c:v>870</c:v>
                </c:pt>
                <c:pt idx="116">
                  <c:v>880</c:v>
                </c:pt>
                <c:pt idx="117">
                  <c:v>890</c:v>
                </c:pt>
                <c:pt idx="118">
                  <c:v>900</c:v>
                </c:pt>
                <c:pt idx="119">
                  <c:v>910</c:v>
                </c:pt>
                <c:pt idx="120">
                  <c:v>920</c:v>
                </c:pt>
                <c:pt idx="121">
                  <c:v>930</c:v>
                </c:pt>
                <c:pt idx="122">
                  <c:v>940</c:v>
                </c:pt>
                <c:pt idx="123">
                  <c:v>950</c:v>
                </c:pt>
                <c:pt idx="124">
                  <c:v>960</c:v>
                </c:pt>
                <c:pt idx="125">
                  <c:v>970</c:v>
                </c:pt>
                <c:pt idx="126">
                  <c:v>980</c:v>
                </c:pt>
                <c:pt idx="127">
                  <c:v>990</c:v>
                </c:pt>
                <c:pt idx="128">
                  <c:v>1000</c:v>
                </c:pt>
                <c:pt idx="129">
                  <c:v>1020</c:v>
                </c:pt>
                <c:pt idx="130">
                  <c:v>1040</c:v>
                </c:pt>
                <c:pt idx="131">
                  <c:v>1060</c:v>
                </c:pt>
                <c:pt idx="132">
                  <c:v>1080</c:v>
                </c:pt>
                <c:pt idx="133">
                  <c:v>1100</c:v>
                </c:pt>
                <c:pt idx="134">
                  <c:v>1120</c:v>
                </c:pt>
                <c:pt idx="135">
                  <c:v>1140</c:v>
                </c:pt>
                <c:pt idx="136">
                  <c:v>1160</c:v>
                </c:pt>
                <c:pt idx="137">
                  <c:v>1180</c:v>
                </c:pt>
                <c:pt idx="138">
                  <c:v>1200</c:v>
                </c:pt>
                <c:pt idx="139">
                  <c:v>1220</c:v>
                </c:pt>
                <c:pt idx="140">
                  <c:v>1240</c:v>
                </c:pt>
                <c:pt idx="141">
                  <c:v>1260</c:v>
                </c:pt>
                <c:pt idx="142">
                  <c:v>1280</c:v>
                </c:pt>
                <c:pt idx="143">
                  <c:v>1300</c:v>
                </c:pt>
                <c:pt idx="144">
                  <c:v>1320</c:v>
                </c:pt>
                <c:pt idx="145">
                  <c:v>1340</c:v>
                </c:pt>
                <c:pt idx="146">
                  <c:v>1360</c:v>
                </c:pt>
                <c:pt idx="147">
                  <c:v>1380</c:v>
                </c:pt>
                <c:pt idx="148">
                  <c:v>1400</c:v>
                </c:pt>
                <c:pt idx="149">
                  <c:v>1420</c:v>
                </c:pt>
                <c:pt idx="150">
                  <c:v>1440</c:v>
                </c:pt>
                <c:pt idx="151">
                  <c:v>1460</c:v>
                </c:pt>
                <c:pt idx="152">
                  <c:v>1480</c:v>
                </c:pt>
                <c:pt idx="153">
                  <c:v>1500</c:v>
                </c:pt>
                <c:pt idx="154">
                  <c:v>1520</c:v>
                </c:pt>
                <c:pt idx="155">
                  <c:v>1540</c:v>
                </c:pt>
                <c:pt idx="156">
                  <c:v>1560</c:v>
                </c:pt>
                <c:pt idx="157">
                  <c:v>1580</c:v>
                </c:pt>
                <c:pt idx="158">
                  <c:v>1600</c:v>
                </c:pt>
                <c:pt idx="159">
                  <c:v>1620</c:v>
                </c:pt>
                <c:pt idx="160">
                  <c:v>1640</c:v>
                </c:pt>
                <c:pt idx="161">
                  <c:v>1660</c:v>
                </c:pt>
                <c:pt idx="162">
                  <c:v>1680</c:v>
                </c:pt>
                <c:pt idx="163">
                  <c:v>1700</c:v>
                </c:pt>
                <c:pt idx="164">
                  <c:v>1720</c:v>
                </c:pt>
                <c:pt idx="165">
                  <c:v>1740</c:v>
                </c:pt>
                <c:pt idx="166">
                  <c:v>1760</c:v>
                </c:pt>
                <c:pt idx="167">
                  <c:v>1780</c:v>
                </c:pt>
                <c:pt idx="168">
                  <c:v>1800</c:v>
                </c:pt>
                <c:pt idx="169">
                  <c:v>1820</c:v>
                </c:pt>
                <c:pt idx="170">
                  <c:v>1840</c:v>
                </c:pt>
                <c:pt idx="171">
                  <c:v>1860</c:v>
                </c:pt>
                <c:pt idx="172">
                  <c:v>1880</c:v>
                </c:pt>
                <c:pt idx="173">
                  <c:v>1900</c:v>
                </c:pt>
                <c:pt idx="174">
                  <c:v>1920</c:v>
                </c:pt>
                <c:pt idx="175">
                  <c:v>1940</c:v>
                </c:pt>
                <c:pt idx="176">
                  <c:v>1960</c:v>
                </c:pt>
                <c:pt idx="177">
                  <c:v>1980</c:v>
                </c:pt>
                <c:pt idx="178">
                  <c:v>2000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"大气压"</c:f>
              <c:strCache>
                <c:ptCount val="1"/>
                <c:pt idx="0">
                  <c:v>大气压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InNitrogenConcentration!$F$2:$F$180</c:f>
              <c:numCache>
                <c:formatCode>General</c:formatCode>
                <c:ptCount val="179"/>
                <c:pt idx="0">
                  <c:v>87.28708</c:v>
                </c:pt>
                <c:pt idx="1">
                  <c:v>87.28711</c:v>
                </c:pt>
                <c:pt idx="2">
                  <c:v>87.28713</c:v>
                </c:pt>
                <c:pt idx="3">
                  <c:v>87.28715</c:v>
                </c:pt>
                <c:pt idx="4">
                  <c:v>87.2872</c:v>
                </c:pt>
                <c:pt idx="5">
                  <c:v>87.28731</c:v>
                </c:pt>
                <c:pt idx="6">
                  <c:v>87.28748</c:v>
                </c:pt>
                <c:pt idx="7">
                  <c:v>87.28771</c:v>
                </c:pt>
                <c:pt idx="8">
                  <c:v>87.28797</c:v>
                </c:pt>
                <c:pt idx="9">
                  <c:v>87.28826</c:v>
                </c:pt>
                <c:pt idx="10">
                  <c:v>87.28855</c:v>
                </c:pt>
                <c:pt idx="11">
                  <c:v>87.28885</c:v>
                </c:pt>
                <c:pt idx="12">
                  <c:v>87.28913</c:v>
                </c:pt>
                <c:pt idx="13">
                  <c:v>87.28964</c:v>
                </c:pt>
                <c:pt idx="14">
                  <c:v>87.29006</c:v>
                </c:pt>
                <c:pt idx="15">
                  <c:v>87.29039</c:v>
                </c:pt>
                <c:pt idx="16">
                  <c:v>87.29065</c:v>
                </c:pt>
                <c:pt idx="17">
                  <c:v>87.29084</c:v>
                </c:pt>
                <c:pt idx="18">
                  <c:v>87.29096</c:v>
                </c:pt>
                <c:pt idx="19">
                  <c:v>87.29102</c:v>
                </c:pt>
                <c:pt idx="20">
                  <c:v>87.29105</c:v>
                </c:pt>
                <c:pt idx="21">
                  <c:v>87.29105</c:v>
                </c:pt>
                <c:pt idx="22">
                  <c:v>87.29104</c:v>
                </c:pt>
                <c:pt idx="23">
                  <c:v>87.29104</c:v>
                </c:pt>
                <c:pt idx="24">
                  <c:v>87.29104</c:v>
                </c:pt>
                <c:pt idx="25">
                  <c:v>87.29108</c:v>
                </c:pt>
                <c:pt idx="26">
                  <c:v>87.29114</c:v>
                </c:pt>
                <c:pt idx="27">
                  <c:v>87.2913</c:v>
                </c:pt>
                <c:pt idx="28">
                  <c:v>87.2916</c:v>
                </c:pt>
                <c:pt idx="29">
                  <c:v>87.29205</c:v>
                </c:pt>
                <c:pt idx="30">
                  <c:v>87.2926</c:v>
                </c:pt>
                <c:pt idx="31">
                  <c:v>87.29321</c:v>
                </c:pt>
                <c:pt idx="32">
                  <c:v>87.29385</c:v>
                </c:pt>
                <c:pt idx="33">
                  <c:v>87.2945</c:v>
                </c:pt>
                <c:pt idx="34">
                  <c:v>87.29516</c:v>
                </c:pt>
                <c:pt idx="35">
                  <c:v>87.29587</c:v>
                </c:pt>
                <c:pt idx="36">
                  <c:v>87.29684</c:v>
                </c:pt>
                <c:pt idx="37">
                  <c:v>87.29802</c:v>
                </c:pt>
                <c:pt idx="38">
                  <c:v>87.29937</c:v>
                </c:pt>
                <c:pt idx="39">
                  <c:v>87.30249</c:v>
                </c:pt>
                <c:pt idx="40">
                  <c:v>87.30596</c:v>
                </c:pt>
                <c:pt idx="41">
                  <c:v>87.30963</c:v>
                </c:pt>
                <c:pt idx="42">
                  <c:v>87.31341</c:v>
                </c:pt>
                <c:pt idx="43">
                  <c:v>87.31725</c:v>
                </c:pt>
                <c:pt idx="44">
                  <c:v>87.32114</c:v>
                </c:pt>
                <c:pt idx="45">
                  <c:v>87.32506</c:v>
                </c:pt>
                <c:pt idx="46">
                  <c:v>87.32906</c:v>
                </c:pt>
                <c:pt idx="47">
                  <c:v>87.33319</c:v>
                </c:pt>
                <c:pt idx="48">
                  <c:v>87.33753</c:v>
                </c:pt>
                <c:pt idx="49">
                  <c:v>87.33947</c:v>
                </c:pt>
                <c:pt idx="50">
                  <c:v>87.34151</c:v>
                </c:pt>
                <c:pt idx="51">
                  <c:v>87.34366</c:v>
                </c:pt>
                <c:pt idx="52">
                  <c:v>87.3459</c:v>
                </c:pt>
                <c:pt idx="53">
                  <c:v>87.34822</c:v>
                </c:pt>
                <c:pt idx="54">
                  <c:v>87.35064</c:v>
                </c:pt>
                <c:pt idx="55">
                  <c:v>87.35313</c:v>
                </c:pt>
                <c:pt idx="56">
                  <c:v>87.35571</c:v>
                </c:pt>
                <c:pt idx="57">
                  <c:v>87.35838</c:v>
                </c:pt>
                <c:pt idx="58">
                  <c:v>87.36115</c:v>
                </c:pt>
                <c:pt idx="59">
                  <c:v>87.36171</c:v>
                </c:pt>
                <c:pt idx="60">
                  <c:v>87.36231</c:v>
                </c:pt>
                <c:pt idx="61">
                  <c:v>87.36295</c:v>
                </c:pt>
                <c:pt idx="62">
                  <c:v>87.36365</c:v>
                </c:pt>
                <c:pt idx="63">
                  <c:v>87.3644</c:v>
                </c:pt>
                <c:pt idx="64">
                  <c:v>87.36523</c:v>
                </c:pt>
                <c:pt idx="65">
                  <c:v>87.36615</c:v>
                </c:pt>
                <c:pt idx="66">
                  <c:v>87.36717</c:v>
                </c:pt>
                <c:pt idx="67">
                  <c:v>87.36829</c:v>
                </c:pt>
                <c:pt idx="68">
                  <c:v>87.36952</c:v>
                </c:pt>
                <c:pt idx="69">
                  <c:v>87.37086</c:v>
                </c:pt>
                <c:pt idx="70">
                  <c:v>87.37231</c:v>
                </c:pt>
                <c:pt idx="71">
                  <c:v>87.3739</c:v>
                </c:pt>
                <c:pt idx="72">
                  <c:v>87.37563</c:v>
                </c:pt>
                <c:pt idx="73">
                  <c:v>87.37751</c:v>
                </c:pt>
                <c:pt idx="74">
                  <c:v>87.37956</c:v>
                </c:pt>
                <c:pt idx="75">
                  <c:v>87.38178</c:v>
                </c:pt>
                <c:pt idx="76">
                  <c:v>87.38416</c:v>
                </c:pt>
                <c:pt idx="77">
                  <c:v>87.38668</c:v>
                </c:pt>
                <c:pt idx="78">
                  <c:v>87.38928</c:v>
                </c:pt>
                <c:pt idx="79">
                  <c:v>87.39369</c:v>
                </c:pt>
                <c:pt idx="80">
                  <c:v>87.39837</c:v>
                </c:pt>
                <c:pt idx="81">
                  <c:v>87.40328</c:v>
                </c:pt>
                <c:pt idx="82">
                  <c:v>87.40838</c:v>
                </c:pt>
                <c:pt idx="83">
                  <c:v>87.41364</c:v>
                </c:pt>
                <c:pt idx="84">
                  <c:v>87.41899</c:v>
                </c:pt>
                <c:pt idx="85">
                  <c:v>87.4244</c:v>
                </c:pt>
                <c:pt idx="86">
                  <c:v>87.42979</c:v>
                </c:pt>
                <c:pt idx="87">
                  <c:v>87.43498</c:v>
                </c:pt>
                <c:pt idx="88">
                  <c:v>87.44007</c:v>
                </c:pt>
                <c:pt idx="89">
                  <c:v>87.44535</c:v>
                </c:pt>
                <c:pt idx="90">
                  <c:v>87.4505</c:v>
                </c:pt>
                <c:pt idx="91">
                  <c:v>87.45588</c:v>
                </c:pt>
                <c:pt idx="92">
                  <c:v>87.46108</c:v>
                </c:pt>
                <c:pt idx="93">
                  <c:v>87.46655</c:v>
                </c:pt>
                <c:pt idx="94">
                  <c:v>87.47179</c:v>
                </c:pt>
                <c:pt idx="95">
                  <c:v>87.47735</c:v>
                </c:pt>
                <c:pt idx="96">
                  <c:v>87.48259</c:v>
                </c:pt>
                <c:pt idx="97">
                  <c:v>87.48822</c:v>
                </c:pt>
                <c:pt idx="98">
                  <c:v>87.49344</c:v>
                </c:pt>
                <c:pt idx="99">
                  <c:v>87.49903</c:v>
                </c:pt>
                <c:pt idx="100">
                  <c:v>87.50414</c:v>
                </c:pt>
                <c:pt idx="101">
                  <c:v>87.50975</c:v>
                </c:pt>
                <c:pt idx="102">
                  <c:v>87.51475</c:v>
                </c:pt>
                <c:pt idx="103">
                  <c:v>87.52037</c:v>
                </c:pt>
                <c:pt idx="104">
                  <c:v>87.52522</c:v>
                </c:pt>
                <c:pt idx="105">
                  <c:v>87.53085</c:v>
                </c:pt>
                <c:pt idx="106">
                  <c:v>87.53552</c:v>
                </c:pt>
                <c:pt idx="107">
                  <c:v>87.54117</c:v>
                </c:pt>
                <c:pt idx="108">
                  <c:v>87.54565</c:v>
                </c:pt>
                <c:pt idx="109">
                  <c:v>87.55137</c:v>
                </c:pt>
                <c:pt idx="110">
                  <c:v>87.55569</c:v>
                </c:pt>
                <c:pt idx="111">
                  <c:v>87.56163</c:v>
                </c:pt>
                <c:pt idx="112">
                  <c:v>87.56599</c:v>
                </c:pt>
                <c:pt idx="113">
                  <c:v>87.57262</c:v>
                </c:pt>
                <c:pt idx="114">
                  <c:v>87.57764</c:v>
                </c:pt>
                <c:pt idx="115">
                  <c:v>87.57983</c:v>
                </c:pt>
                <c:pt idx="116">
                  <c:v>87.58403</c:v>
                </c:pt>
                <c:pt idx="117">
                  <c:v>87.59149</c:v>
                </c:pt>
                <c:pt idx="118">
                  <c:v>87.59439</c:v>
                </c:pt>
                <c:pt idx="119">
                  <c:v>87.60166</c:v>
                </c:pt>
                <c:pt idx="120">
                  <c:v>87.60363</c:v>
                </c:pt>
                <c:pt idx="121">
                  <c:v>87.61105</c:v>
                </c:pt>
                <c:pt idx="122">
                  <c:v>87.6122</c:v>
                </c:pt>
                <c:pt idx="123">
                  <c:v>87.61986</c:v>
                </c:pt>
                <c:pt idx="124">
                  <c:v>87.62016</c:v>
                </c:pt>
                <c:pt idx="125">
                  <c:v>87.62799</c:v>
                </c:pt>
                <c:pt idx="126">
                  <c:v>87.62723</c:v>
                </c:pt>
                <c:pt idx="127">
                  <c:v>87.63485</c:v>
                </c:pt>
                <c:pt idx="128">
                  <c:v>87.63219</c:v>
                </c:pt>
                <c:pt idx="129">
                  <c:v>87.65322</c:v>
                </c:pt>
                <c:pt idx="130">
                  <c:v>87.64054</c:v>
                </c:pt>
                <c:pt idx="131">
                  <c:v>87.66323</c:v>
                </c:pt>
                <c:pt idx="132">
                  <c:v>87.64579</c:v>
                </c:pt>
                <c:pt idx="133">
                  <c:v>87.66878</c:v>
                </c:pt>
                <c:pt idx="134">
                  <c:v>87.64717</c:v>
                </c:pt>
                <c:pt idx="135">
                  <c:v>87.67016</c:v>
                </c:pt>
                <c:pt idx="136">
                  <c:v>87.64592</c:v>
                </c:pt>
                <c:pt idx="137">
                  <c:v>87.66953</c:v>
                </c:pt>
                <c:pt idx="138">
                  <c:v>87.64512</c:v>
                </c:pt>
                <c:pt idx="139">
                  <c:v>87.66958</c:v>
                </c:pt>
                <c:pt idx="140">
                  <c:v>87.64324</c:v>
                </c:pt>
                <c:pt idx="141">
                  <c:v>87.64086</c:v>
                </c:pt>
                <c:pt idx="142">
                  <c:v>87.66161</c:v>
                </c:pt>
                <c:pt idx="143">
                  <c:v>87.63136</c:v>
                </c:pt>
                <c:pt idx="144">
                  <c:v>87.65133</c:v>
                </c:pt>
                <c:pt idx="145">
                  <c:v>87.64712</c:v>
                </c:pt>
                <c:pt idx="146">
                  <c:v>87.61863</c:v>
                </c:pt>
                <c:pt idx="147">
                  <c:v>87.64012</c:v>
                </c:pt>
                <c:pt idx="148">
                  <c:v>87.61515</c:v>
                </c:pt>
                <c:pt idx="149">
                  <c:v>87.63543</c:v>
                </c:pt>
                <c:pt idx="150">
                  <c:v>87.6138</c:v>
                </c:pt>
                <c:pt idx="151">
                  <c:v>87.61387</c:v>
                </c:pt>
                <c:pt idx="152">
                  <c:v>87.61082</c:v>
                </c:pt>
                <c:pt idx="153">
                  <c:v>87.63652</c:v>
                </c:pt>
                <c:pt idx="154">
                  <c:v>87.61499</c:v>
                </c:pt>
                <c:pt idx="155">
                  <c:v>87.6398</c:v>
                </c:pt>
                <c:pt idx="156">
                  <c:v>87.62139</c:v>
                </c:pt>
                <c:pt idx="157">
                  <c:v>87.64463</c:v>
                </c:pt>
                <c:pt idx="158">
                  <c:v>87.646</c:v>
                </c:pt>
                <c:pt idx="159">
                  <c:v>87.6333</c:v>
                </c:pt>
                <c:pt idx="160">
                  <c:v>87.64078</c:v>
                </c:pt>
                <c:pt idx="161">
                  <c:v>87.649</c:v>
                </c:pt>
                <c:pt idx="162">
                  <c:v>87.65114</c:v>
                </c:pt>
                <c:pt idx="163">
                  <c:v>87.64845</c:v>
                </c:pt>
                <c:pt idx="164">
                  <c:v>87.64837</c:v>
                </c:pt>
                <c:pt idx="165">
                  <c:v>87.6484</c:v>
                </c:pt>
                <c:pt idx="166">
                  <c:v>87.6487</c:v>
                </c:pt>
                <c:pt idx="167">
                  <c:v>87.64889</c:v>
                </c:pt>
                <c:pt idx="168">
                  <c:v>87.6492</c:v>
                </c:pt>
                <c:pt idx="169">
                  <c:v>87.64912</c:v>
                </c:pt>
                <c:pt idx="170">
                  <c:v>87.64903</c:v>
                </c:pt>
                <c:pt idx="171">
                  <c:v>87.6486</c:v>
                </c:pt>
                <c:pt idx="172">
                  <c:v>87.64819</c:v>
                </c:pt>
                <c:pt idx="173">
                  <c:v>87.64755</c:v>
                </c:pt>
                <c:pt idx="174">
                  <c:v>87.64697</c:v>
                </c:pt>
                <c:pt idx="175">
                  <c:v>87.64626</c:v>
                </c:pt>
                <c:pt idx="176">
                  <c:v>87.64563</c:v>
                </c:pt>
                <c:pt idx="177">
                  <c:v>87.64492</c:v>
                </c:pt>
                <c:pt idx="178">
                  <c:v>87.64431</c:v>
                </c:pt>
              </c:numCache>
            </c:numRef>
          </c:xVal>
          <c:yVal>
            <c:numRef>
              <c:f>[1]InNitrogenConcentration!$A$2:$A$180</c:f>
              <c:numCache>
                <c:formatCode>General</c:formatCode>
                <c:ptCount val="17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12</c:v>
                </c:pt>
                <c:pt idx="14">
                  <c:v>14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32.5</c:v>
                </c:pt>
                <c:pt idx="24">
                  <c:v>35</c:v>
                </c:pt>
                <c:pt idx="25">
                  <c:v>37.5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70</c:v>
                </c:pt>
                <c:pt idx="33">
                  <c:v>75</c:v>
                </c:pt>
                <c:pt idx="34">
                  <c:v>80</c:v>
                </c:pt>
                <c:pt idx="35">
                  <c:v>85</c:v>
                </c:pt>
                <c:pt idx="36">
                  <c:v>90</c:v>
                </c:pt>
                <c:pt idx="37">
                  <c:v>95</c:v>
                </c:pt>
                <c:pt idx="38">
                  <c:v>100</c:v>
                </c:pt>
                <c:pt idx="39">
                  <c:v>110</c:v>
                </c:pt>
                <c:pt idx="40">
                  <c:v>120</c:v>
                </c:pt>
                <c:pt idx="41">
                  <c:v>130</c:v>
                </c:pt>
                <c:pt idx="42">
                  <c:v>140</c:v>
                </c:pt>
                <c:pt idx="43">
                  <c:v>150</c:v>
                </c:pt>
                <c:pt idx="44">
                  <c:v>160</c:v>
                </c:pt>
                <c:pt idx="45">
                  <c:v>170</c:v>
                </c:pt>
                <c:pt idx="46">
                  <c:v>180</c:v>
                </c:pt>
                <c:pt idx="47">
                  <c:v>190</c:v>
                </c:pt>
                <c:pt idx="48">
                  <c:v>200</c:v>
                </c:pt>
                <c:pt idx="49">
                  <c:v>210</c:v>
                </c:pt>
                <c:pt idx="50">
                  <c:v>220</c:v>
                </c:pt>
                <c:pt idx="51">
                  <c:v>230</c:v>
                </c:pt>
                <c:pt idx="52">
                  <c:v>240</c:v>
                </c:pt>
                <c:pt idx="53">
                  <c:v>250</c:v>
                </c:pt>
                <c:pt idx="54">
                  <c:v>260</c:v>
                </c:pt>
                <c:pt idx="55">
                  <c:v>270</c:v>
                </c:pt>
                <c:pt idx="56">
                  <c:v>280</c:v>
                </c:pt>
                <c:pt idx="57">
                  <c:v>290</c:v>
                </c:pt>
                <c:pt idx="58">
                  <c:v>300</c:v>
                </c:pt>
                <c:pt idx="59">
                  <c:v>310</c:v>
                </c:pt>
                <c:pt idx="60">
                  <c:v>320</c:v>
                </c:pt>
                <c:pt idx="61">
                  <c:v>330</c:v>
                </c:pt>
                <c:pt idx="62">
                  <c:v>340</c:v>
                </c:pt>
                <c:pt idx="63">
                  <c:v>350</c:v>
                </c:pt>
                <c:pt idx="64">
                  <c:v>360</c:v>
                </c:pt>
                <c:pt idx="65">
                  <c:v>370</c:v>
                </c:pt>
                <c:pt idx="66">
                  <c:v>380</c:v>
                </c:pt>
                <c:pt idx="67">
                  <c:v>390</c:v>
                </c:pt>
                <c:pt idx="68">
                  <c:v>400</c:v>
                </c:pt>
                <c:pt idx="69">
                  <c:v>410</c:v>
                </c:pt>
                <c:pt idx="70">
                  <c:v>420</c:v>
                </c:pt>
                <c:pt idx="71">
                  <c:v>430</c:v>
                </c:pt>
                <c:pt idx="72">
                  <c:v>440</c:v>
                </c:pt>
                <c:pt idx="73">
                  <c:v>450</c:v>
                </c:pt>
                <c:pt idx="74">
                  <c:v>460</c:v>
                </c:pt>
                <c:pt idx="75">
                  <c:v>470</c:v>
                </c:pt>
                <c:pt idx="76">
                  <c:v>480</c:v>
                </c:pt>
                <c:pt idx="77">
                  <c:v>490</c:v>
                </c:pt>
                <c:pt idx="78">
                  <c:v>500</c:v>
                </c:pt>
                <c:pt idx="79">
                  <c:v>510</c:v>
                </c:pt>
                <c:pt idx="80">
                  <c:v>520</c:v>
                </c:pt>
                <c:pt idx="81">
                  <c:v>530</c:v>
                </c:pt>
                <c:pt idx="82">
                  <c:v>540</c:v>
                </c:pt>
                <c:pt idx="83">
                  <c:v>550</c:v>
                </c:pt>
                <c:pt idx="84">
                  <c:v>560</c:v>
                </c:pt>
                <c:pt idx="85">
                  <c:v>570</c:v>
                </c:pt>
                <c:pt idx="86">
                  <c:v>580</c:v>
                </c:pt>
                <c:pt idx="87">
                  <c:v>590</c:v>
                </c:pt>
                <c:pt idx="88">
                  <c:v>600</c:v>
                </c:pt>
                <c:pt idx="89">
                  <c:v>610</c:v>
                </c:pt>
                <c:pt idx="90">
                  <c:v>620</c:v>
                </c:pt>
                <c:pt idx="91">
                  <c:v>630</c:v>
                </c:pt>
                <c:pt idx="92">
                  <c:v>640</c:v>
                </c:pt>
                <c:pt idx="93">
                  <c:v>650</c:v>
                </c:pt>
                <c:pt idx="94">
                  <c:v>660</c:v>
                </c:pt>
                <c:pt idx="95">
                  <c:v>670</c:v>
                </c:pt>
                <c:pt idx="96">
                  <c:v>680</c:v>
                </c:pt>
                <c:pt idx="97">
                  <c:v>690</c:v>
                </c:pt>
                <c:pt idx="98">
                  <c:v>700</c:v>
                </c:pt>
                <c:pt idx="99">
                  <c:v>710</c:v>
                </c:pt>
                <c:pt idx="100">
                  <c:v>720</c:v>
                </c:pt>
                <c:pt idx="101">
                  <c:v>730</c:v>
                </c:pt>
                <c:pt idx="102">
                  <c:v>740</c:v>
                </c:pt>
                <c:pt idx="103">
                  <c:v>750</c:v>
                </c:pt>
                <c:pt idx="104">
                  <c:v>760</c:v>
                </c:pt>
                <c:pt idx="105">
                  <c:v>770</c:v>
                </c:pt>
                <c:pt idx="106">
                  <c:v>780</c:v>
                </c:pt>
                <c:pt idx="107">
                  <c:v>790</c:v>
                </c:pt>
                <c:pt idx="108">
                  <c:v>800</c:v>
                </c:pt>
                <c:pt idx="109">
                  <c:v>810</c:v>
                </c:pt>
                <c:pt idx="110">
                  <c:v>820</c:v>
                </c:pt>
                <c:pt idx="111">
                  <c:v>830</c:v>
                </c:pt>
                <c:pt idx="112">
                  <c:v>840</c:v>
                </c:pt>
                <c:pt idx="113">
                  <c:v>850</c:v>
                </c:pt>
                <c:pt idx="114">
                  <c:v>860</c:v>
                </c:pt>
                <c:pt idx="115">
                  <c:v>870</c:v>
                </c:pt>
                <c:pt idx="116">
                  <c:v>880</c:v>
                </c:pt>
                <c:pt idx="117">
                  <c:v>890</c:v>
                </c:pt>
                <c:pt idx="118">
                  <c:v>900</c:v>
                </c:pt>
                <c:pt idx="119">
                  <c:v>910</c:v>
                </c:pt>
                <c:pt idx="120">
                  <c:v>920</c:v>
                </c:pt>
                <c:pt idx="121">
                  <c:v>930</c:v>
                </c:pt>
                <c:pt idx="122">
                  <c:v>940</c:v>
                </c:pt>
                <c:pt idx="123">
                  <c:v>950</c:v>
                </c:pt>
                <c:pt idx="124">
                  <c:v>960</c:v>
                </c:pt>
                <c:pt idx="125">
                  <c:v>970</c:v>
                </c:pt>
                <c:pt idx="126">
                  <c:v>980</c:v>
                </c:pt>
                <c:pt idx="127">
                  <c:v>990</c:v>
                </c:pt>
                <c:pt idx="128">
                  <c:v>1000</c:v>
                </c:pt>
                <c:pt idx="129">
                  <c:v>1020</c:v>
                </c:pt>
                <c:pt idx="130">
                  <c:v>1040</c:v>
                </c:pt>
                <c:pt idx="131">
                  <c:v>1060</c:v>
                </c:pt>
                <c:pt idx="132">
                  <c:v>1080</c:v>
                </c:pt>
                <c:pt idx="133">
                  <c:v>1100</c:v>
                </c:pt>
                <c:pt idx="134">
                  <c:v>1120</c:v>
                </c:pt>
                <c:pt idx="135">
                  <c:v>1140</c:v>
                </c:pt>
                <c:pt idx="136">
                  <c:v>1160</c:v>
                </c:pt>
                <c:pt idx="137">
                  <c:v>1180</c:v>
                </c:pt>
                <c:pt idx="138">
                  <c:v>1200</c:v>
                </c:pt>
                <c:pt idx="139">
                  <c:v>1220</c:v>
                </c:pt>
                <c:pt idx="140">
                  <c:v>1240</c:v>
                </c:pt>
                <c:pt idx="141">
                  <c:v>1260</c:v>
                </c:pt>
                <c:pt idx="142">
                  <c:v>1280</c:v>
                </c:pt>
                <c:pt idx="143">
                  <c:v>1300</c:v>
                </c:pt>
                <c:pt idx="144">
                  <c:v>1320</c:v>
                </c:pt>
                <c:pt idx="145">
                  <c:v>1340</c:v>
                </c:pt>
                <c:pt idx="146">
                  <c:v>1360</c:v>
                </c:pt>
                <c:pt idx="147">
                  <c:v>1380</c:v>
                </c:pt>
                <c:pt idx="148">
                  <c:v>1400</c:v>
                </c:pt>
                <c:pt idx="149">
                  <c:v>1420</c:v>
                </c:pt>
                <c:pt idx="150">
                  <c:v>1440</c:v>
                </c:pt>
                <c:pt idx="151">
                  <c:v>1460</c:v>
                </c:pt>
                <c:pt idx="152">
                  <c:v>1480</c:v>
                </c:pt>
                <c:pt idx="153">
                  <c:v>1500</c:v>
                </c:pt>
                <c:pt idx="154">
                  <c:v>1520</c:v>
                </c:pt>
                <c:pt idx="155">
                  <c:v>1540</c:v>
                </c:pt>
                <c:pt idx="156">
                  <c:v>1560</c:v>
                </c:pt>
                <c:pt idx="157">
                  <c:v>1580</c:v>
                </c:pt>
                <c:pt idx="158">
                  <c:v>1600</c:v>
                </c:pt>
                <c:pt idx="159">
                  <c:v>1620</c:v>
                </c:pt>
                <c:pt idx="160">
                  <c:v>1640</c:v>
                </c:pt>
                <c:pt idx="161">
                  <c:v>1660</c:v>
                </c:pt>
                <c:pt idx="162">
                  <c:v>1680</c:v>
                </c:pt>
                <c:pt idx="163">
                  <c:v>1700</c:v>
                </c:pt>
                <c:pt idx="164">
                  <c:v>1720</c:v>
                </c:pt>
                <c:pt idx="165">
                  <c:v>1740</c:v>
                </c:pt>
                <c:pt idx="166">
                  <c:v>1760</c:v>
                </c:pt>
                <c:pt idx="167">
                  <c:v>1780</c:v>
                </c:pt>
                <c:pt idx="168">
                  <c:v>1800</c:v>
                </c:pt>
                <c:pt idx="169">
                  <c:v>1820</c:v>
                </c:pt>
                <c:pt idx="170">
                  <c:v>1840</c:v>
                </c:pt>
                <c:pt idx="171">
                  <c:v>1860</c:v>
                </c:pt>
                <c:pt idx="172">
                  <c:v>1880</c:v>
                </c:pt>
                <c:pt idx="173">
                  <c:v>1900</c:v>
                </c:pt>
                <c:pt idx="174">
                  <c:v>1920</c:v>
                </c:pt>
                <c:pt idx="175">
                  <c:v>1940</c:v>
                </c:pt>
                <c:pt idx="176">
                  <c:v>1960</c:v>
                </c:pt>
                <c:pt idx="177">
                  <c:v>1980</c:v>
                </c:pt>
                <c:pt idx="178">
                  <c:v>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541088"/>
        <c:axId val="1571542528"/>
      </c:scatterChart>
      <c:scatterChart>
        <c:scatterStyle val="smooth"/>
        <c:varyColors val="0"/>
        <c:ser>
          <c:idx val="0"/>
          <c:order val="0"/>
          <c:tx>
            <c:strRef>
              <c:f>"铵态氮"</c:f>
              <c:strCache>
                <c:ptCount val="1"/>
                <c:pt idx="0">
                  <c:v>铵态氮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InNitrogenConcentration!$B$2:$B$180</c:f>
              <c:numCache>
                <c:formatCode>General</c:formatCode>
                <c:ptCount val="179"/>
                <c:pt idx="0">
                  <c:v>1.6405245441</c:v>
                </c:pt>
                <c:pt idx="1">
                  <c:v>1.6404202009</c:v>
                </c:pt>
                <c:pt idx="2">
                  <c:v>1.6408513589</c:v>
                </c:pt>
                <c:pt idx="3">
                  <c:v>1.6432039169</c:v>
                </c:pt>
                <c:pt idx="4">
                  <c:v>1.6552487887</c:v>
                </c:pt>
                <c:pt idx="5">
                  <c:v>1.6755098243</c:v>
                </c:pt>
                <c:pt idx="6">
                  <c:v>1.700645882</c:v>
                </c:pt>
                <c:pt idx="7">
                  <c:v>1.7281485351</c:v>
                </c:pt>
                <c:pt idx="8">
                  <c:v>1.7564824667</c:v>
                </c:pt>
                <c:pt idx="9">
                  <c:v>1.784863756</c:v>
                </c:pt>
                <c:pt idx="10">
                  <c:v>1.8129114809</c:v>
                </c:pt>
                <c:pt idx="11">
                  <c:v>1.840409142</c:v>
                </c:pt>
                <c:pt idx="12">
                  <c:v>1.8671730844</c:v>
                </c:pt>
                <c:pt idx="13">
                  <c:v>1.9197991085</c:v>
                </c:pt>
                <c:pt idx="14">
                  <c:v>1.9710320903</c:v>
                </c:pt>
                <c:pt idx="15">
                  <c:v>2.0226399687</c:v>
                </c:pt>
                <c:pt idx="16">
                  <c:v>2.0763354716</c:v>
                </c:pt>
                <c:pt idx="17">
                  <c:v>2.1338606445</c:v>
                </c:pt>
                <c:pt idx="18">
                  <c:v>2.19717939992718</c:v>
                </c:pt>
                <c:pt idx="19">
                  <c:v>2.26864286499136</c:v>
                </c:pt>
                <c:pt idx="20">
                  <c:v>2.35120898121524</c:v>
                </c:pt>
                <c:pt idx="21">
                  <c:v>2.44873543912704</c:v>
                </c:pt>
                <c:pt idx="22">
                  <c:v>2.566278186615</c:v>
                </c:pt>
                <c:pt idx="23">
                  <c:v>2.75317611219228</c:v>
                </c:pt>
                <c:pt idx="24">
                  <c:v>3.00155292215625</c:v>
                </c:pt>
                <c:pt idx="25">
                  <c:v>3.3416153867832</c:v>
                </c:pt>
                <c:pt idx="26">
                  <c:v>3.828278053635</c:v>
                </c:pt>
                <c:pt idx="27">
                  <c:v>5.06423900142563</c:v>
                </c:pt>
                <c:pt idx="28">
                  <c:v>5.636715247825</c:v>
                </c:pt>
                <c:pt idx="29">
                  <c:v>5.71373089311984</c:v>
                </c:pt>
                <c:pt idx="30">
                  <c:v>5.47753926384</c:v>
                </c:pt>
                <c:pt idx="31">
                  <c:v>5.09394297606031</c:v>
                </c:pt>
                <c:pt idx="32">
                  <c:v>4.693689004125</c:v>
                </c:pt>
                <c:pt idx="33">
                  <c:v>4.36444256163797</c:v>
                </c:pt>
                <c:pt idx="34">
                  <c:v>4.157413848705</c:v>
                </c:pt>
                <c:pt idx="35">
                  <c:v>3.728937385515</c:v>
                </c:pt>
                <c:pt idx="36">
                  <c:v>3.4073178691125</c:v>
                </c:pt>
                <c:pt idx="37">
                  <c:v>3.21853632686344</c:v>
                </c:pt>
                <c:pt idx="38">
                  <c:v>3.12561932672</c:v>
                </c:pt>
                <c:pt idx="39">
                  <c:v>3.08361808308263</c:v>
                </c:pt>
                <c:pt idx="40">
                  <c:v>3.0797198397</c:v>
                </c:pt>
                <c:pt idx="41">
                  <c:v>3.08235757361919</c:v>
                </c:pt>
                <c:pt idx="42">
                  <c:v>3.08800374816</c:v>
                </c:pt>
                <c:pt idx="43">
                  <c:v>3.0965333679525</c:v>
                </c:pt>
                <c:pt idx="44">
                  <c:v>3.1084425086</c:v>
                </c:pt>
                <c:pt idx="45">
                  <c:v>3.130243633785</c:v>
                </c:pt>
                <c:pt idx="46">
                  <c:v>3.197217993905</c:v>
                </c:pt>
                <c:pt idx="47">
                  <c:v>3.45339496094562</c:v>
                </c:pt>
                <c:pt idx="48">
                  <c:v>4.34241006795</c:v>
                </c:pt>
                <c:pt idx="49">
                  <c:v>5.11026442970656</c:v>
                </c:pt>
                <c:pt idx="50">
                  <c:v>5.52980693707</c:v>
                </c:pt>
                <c:pt idx="51">
                  <c:v>5.7601794780825</c:v>
                </c:pt>
                <c:pt idx="52">
                  <c:v>5.90068167948</c:v>
                </c:pt>
                <c:pt idx="53">
                  <c:v>6.01246272525498</c:v>
                </c:pt>
                <c:pt idx="54">
                  <c:v>6.13659586958</c:v>
                </c:pt>
                <c:pt idx="55">
                  <c:v>6.33110617036615</c:v>
                </c:pt>
                <c:pt idx="56">
                  <c:v>6.73413134457</c:v>
                </c:pt>
                <c:pt idx="57">
                  <c:v>7.65809142092074</c:v>
                </c:pt>
                <c:pt idx="58">
                  <c:v>9.6275981376</c:v>
                </c:pt>
                <c:pt idx="59">
                  <c:v>10.795350208617</c:v>
                </c:pt>
                <c:pt idx="60">
                  <c:v>11.67426069364</c:v>
                </c:pt>
                <c:pt idx="61">
                  <c:v>12.362393456328</c:v>
                </c:pt>
                <c:pt idx="62">
                  <c:v>12.8211249712</c:v>
                </c:pt>
                <c:pt idx="63">
                  <c:v>13.05116527854</c:v>
                </c:pt>
                <c:pt idx="64">
                  <c:v>13.07667836867</c:v>
                </c:pt>
                <c:pt idx="65">
                  <c:v>12.932325518935</c:v>
                </c:pt>
                <c:pt idx="66">
                  <c:v>12.65642077408</c:v>
                </c:pt>
                <c:pt idx="67">
                  <c:v>12.2881381458035</c:v>
                </c:pt>
                <c:pt idx="68">
                  <c:v>11.86598655766</c:v>
                </c:pt>
                <c:pt idx="69">
                  <c:v>11.4260241423084</c:v>
                </c:pt>
                <c:pt idx="70">
                  <c:v>10.99963934133</c:v>
                </c:pt>
                <c:pt idx="71">
                  <c:v>10.611318986189</c:v>
                </c:pt>
                <c:pt idx="72">
                  <c:v>10.276973169135</c:v>
                </c:pt>
                <c:pt idx="73">
                  <c:v>10.0032763461559</c:v>
                </c:pt>
                <c:pt idx="74">
                  <c:v>9.788385087975</c:v>
                </c:pt>
                <c:pt idx="75">
                  <c:v>9.62405978365609</c:v>
                </c:pt>
                <c:pt idx="76">
                  <c:v>9.49887050112</c:v>
                </c:pt>
                <c:pt idx="77">
                  <c:v>9.40131124824937</c:v>
                </c:pt>
                <c:pt idx="78">
                  <c:v>9.32222564055</c:v>
                </c:pt>
                <c:pt idx="79">
                  <c:v>9.245269828575</c:v>
                </c:pt>
                <c:pt idx="80">
                  <c:v>9.1816459548</c:v>
                </c:pt>
                <c:pt idx="81">
                  <c:v>9.1276712253875</c:v>
                </c:pt>
                <c:pt idx="82">
                  <c:v>9.08276832298</c:v>
                </c:pt>
                <c:pt idx="83">
                  <c:v>9.045365898085</c:v>
                </c:pt>
                <c:pt idx="84">
                  <c:v>9.01475009904</c:v>
                </c:pt>
                <c:pt idx="85">
                  <c:v>8.987578483785</c:v>
                </c:pt>
                <c:pt idx="86">
                  <c:v>8.965448500085</c:v>
                </c:pt>
                <c:pt idx="87">
                  <c:v>8.952644137465</c:v>
                </c:pt>
                <c:pt idx="88">
                  <c:v>8.9468525952</c:v>
                </c:pt>
                <c:pt idx="89">
                  <c:v>8.94423545006469</c:v>
                </c:pt>
                <c:pt idx="90">
                  <c:v>8.940191014645</c:v>
                </c:pt>
                <c:pt idx="91">
                  <c:v>8.93899864847998</c:v>
                </c:pt>
                <c:pt idx="92">
                  <c:v>8.936258333175</c:v>
                </c:pt>
                <c:pt idx="93">
                  <c:v>8.9365924881037</c:v>
                </c:pt>
                <c:pt idx="94">
                  <c:v>8.935558889125</c:v>
                </c:pt>
                <c:pt idx="95">
                  <c:v>8.93795947130234</c:v>
                </c:pt>
                <c:pt idx="96">
                  <c:v>8.93919657057</c:v>
                </c:pt>
                <c:pt idx="97">
                  <c:v>8.94418115808283</c:v>
                </c:pt>
                <c:pt idx="98">
                  <c:v>8.948126325945</c:v>
                </c:pt>
                <c:pt idx="99">
                  <c:v>8.956114490205</c:v>
                </c:pt>
                <c:pt idx="100">
                  <c:v>8.96319569418</c:v>
                </c:pt>
                <c:pt idx="101">
                  <c:v>8.974305152082</c:v>
                </c:pt>
                <c:pt idx="102">
                  <c:v>8.98448291493</c:v>
                </c:pt>
                <c:pt idx="103">
                  <c:v>8.998817609899</c:v>
                </c:pt>
                <c:pt idx="104">
                  <c:v>9.01215449959</c:v>
                </c:pt>
                <c:pt idx="105">
                  <c:v>9.02964355650997</c:v>
                </c:pt>
                <c:pt idx="106">
                  <c:v>9.04585629825</c:v>
                </c:pt>
                <c:pt idx="107">
                  <c:v>9.0659617991245</c:v>
                </c:pt>
                <c:pt idx="108">
                  <c:v>9.084270361375</c:v>
                </c:pt>
                <c:pt idx="109">
                  <c:v>9.105957211344</c:v>
                </c:pt>
                <c:pt idx="110">
                  <c:v>9.125090797095</c:v>
                </c:pt>
                <c:pt idx="111">
                  <c:v>9.14694166921941</c:v>
                </c:pt>
                <c:pt idx="112">
                  <c:v>9.165478506425</c:v>
                </c:pt>
                <c:pt idx="113">
                  <c:v>9.18608189135634</c:v>
                </c:pt>
                <c:pt idx="114">
                  <c:v>9.215075956275</c:v>
                </c:pt>
                <c:pt idx="115">
                  <c:v>9.254341060335</c:v>
                </c:pt>
                <c:pt idx="116">
                  <c:v>9.283781795445</c:v>
                </c:pt>
                <c:pt idx="117">
                  <c:v>9.30157812527</c:v>
                </c:pt>
                <c:pt idx="118">
                  <c:v>9.31601363196</c:v>
                </c:pt>
                <c:pt idx="119">
                  <c:v>9.33287989956</c:v>
                </c:pt>
                <c:pt idx="120">
                  <c:v>9.346552386875</c:v>
                </c:pt>
                <c:pt idx="121">
                  <c:v>9.362688111645</c:v>
                </c:pt>
                <c:pt idx="122">
                  <c:v>9.37574748077</c:v>
                </c:pt>
                <c:pt idx="123">
                  <c:v>9.3911524991625</c:v>
                </c:pt>
                <c:pt idx="124">
                  <c:v>9.40347680032</c:v>
                </c:pt>
                <c:pt idx="125">
                  <c:v>9.41787564383071</c:v>
                </c:pt>
                <c:pt idx="126">
                  <c:v>9.429028059955</c:v>
                </c:pt>
                <c:pt idx="127">
                  <c:v>9.44176605513807</c:v>
                </c:pt>
                <c:pt idx="128">
                  <c:v>9.45114132875</c:v>
                </c:pt>
                <c:pt idx="129">
                  <c:v>9.4732442493</c:v>
                </c:pt>
                <c:pt idx="130">
                  <c:v>9.48064699279</c:v>
                </c:pt>
                <c:pt idx="131">
                  <c:v>9.49315512448</c:v>
                </c:pt>
                <c:pt idx="132">
                  <c:v>9.491514894645</c:v>
                </c:pt>
                <c:pt idx="133">
                  <c:v>9.49403330496</c:v>
                </c:pt>
                <c:pt idx="134">
                  <c:v>9.48187221492</c:v>
                </c:pt>
                <c:pt idx="135">
                  <c:v>9.473215010585</c:v>
                </c:pt>
                <c:pt idx="136">
                  <c:v>9.45267909978</c:v>
                </c:pt>
                <c:pt idx="137">
                  <c:v>9.43934125172</c:v>
                </c:pt>
                <c:pt idx="138">
                  <c:v>9.421537542775</c:v>
                </c:pt>
                <c:pt idx="139">
                  <c:v>9.42077522994</c:v>
                </c:pt>
                <c:pt idx="140">
                  <c:v>9.42827404158</c:v>
                </c:pt>
                <c:pt idx="141">
                  <c:v>9.4030143341</c:v>
                </c:pt>
                <c:pt idx="142">
                  <c:v>9.33775475353</c:v>
                </c:pt>
                <c:pt idx="143">
                  <c:v>9.26718762508</c:v>
                </c:pt>
                <c:pt idx="144">
                  <c:v>9.19733073344</c:v>
                </c:pt>
                <c:pt idx="145">
                  <c:v>9.147368568</c:v>
                </c:pt>
                <c:pt idx="146">
                  <c:v>9.107067802625</c:v>
                </c:pt>
                <c:pt idx="147">
                  <c:v>9.05369359328</c:v>
                </c:pt>
                <c:pt idx="148">
                  <c:v>8.99753228754</c:v>
                </c:pt>
                <c:pt idx="149">
                  <c:v>8.96247362058</c:v>
                </c:pt>
                <c:pt idx="150">
                  <c:v>8.945635914765</c:v>
                </c:pt>
                <c:pt idx="151">
                  <c:v>8.93543630902</c:v>
                </c:pt>
                <c:pt idx="152">
                  <c:v>8.90011999162</c:v>
                </c:pt>
                <c:pt idx="153">
                  <c:v>8.884020003</c:v>
                </c:pt>
                <c:pt idx="154">
                  <c:v>8.893587216235</c:v>
                </c:pt>
                <c:pt idx="155">
                  <c:v>8.922660818645</c:v>
                </c:pt>
                <c:pt idx="156">
                  <c:v>8.94356992844</c:v>
                </c:pt>
                <c:pt idx="157">
                  <c:v>8.96325868095</c:v>
                </c:pt>
                <c:pt idx="158">
                  <c:v>9.02239709976</c:v>
                </c:pt>
                <c:pt idx="159">
                  <c:v>9.131116005</c:v>
                </c:pt>
                <c:pt idx="160">
                  <c:v>9.22548484286</c:v>
                </c:pt>
                <c:pt idx="161">
                  <c:v>9.2530569555</c:v>
                </c:pt>
                <c:pt idx="162">
                  <c:v>9.2674585785</c:v>
                </c:pt>
                <c:pt idx="163">
                  <c:v>9.2815086728</c:v>
                </c:pt>
                <c:pt idx="164">
                  <c:v>9.29866841615</c:v>
                </c:pt>
                <c:pt idx="165">
                  <c:v>9.3253069484</c:v>
                </c:pt>
                <c:pt idx="166">
                  <c:v>9.382809886995</c:v>
                </c:pt>
                <c:pt idx="167">
                  <c:v>9.4451478759</c:v>
                </c:pt>
                <c:pt idx="168">
                  <c:v>9.50483673997</c:v>
                </c:pt>
                <c:pt idx="169">
                  <c:v>9.549256465</c:v>
                </c:pt>
                <c:pt idx="170">
                  <c:v>9.59755531212</c:v>
                </c:pt>
                <c:pt idx="171">
                  <c:v>9.63499369584</c:v>
                </c:pt>
                <c:pt idx="172">
                  <c:v>9.6779742696</c:v>
                </c:pt>
                <c:pt idx="173">
                  <c:v>9.71003455916</c:v>
                </c:pt>
                <c:pt idx="174">
                  <c:v>9.74632304991</c:v>
                </c:pt>
                <c:pt idx="175">
                  <c:v>9.77098589856</c:v>
                </c:pt>
                <c:pt idx="176">
                  <c:v>9.8003751129</c:v>
                </c:pt>
                <c:pt idx="177">
                  <c:v>9.82087822558</c:v>
                </c:pt>
                <c:pt idx="178">
                  <c:v>9.84999514663</c:v>
                </c:pt>
              </c:numCache>
            </c:numRef>
          </c:xVal>
          <c:yVal>
            <c:numRef>
              <c:f>'[1]InNitrogenConcentration-2'!$A$2:$A$180</c:f>
              <c:numCache>
                <c:formatCode>General</c:formatCode>
                <c:ptCount val="17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12</c:v>
                </c:pt>
                <c:pt idx="14">
                  <c:v>14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32.5</c:v>
                </c:pt>
                <c:pt idx="24">
                  <c:v>35</c:v>
                </c:pt>
                <c:pt idx="25">
                  <c:v>37.5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70</c:v>
                </c:pt>
                <c:pt idx="33">
                  <c:v>75</c:v>
                </c:pt>
                <c:pt idx="34">
                  <c:v>80</c:v>
                </c:pt>
                <c:pt idx="35">
                  <c:v>85</c:v>
                </c:pt>
                <c:pt idx="36">
                  <c:v>90</c:v>
                </c:pt>
                <c:pt idx="37">
                  <c:v>95</c:v>
                </c:pt>
                <c:pt idx="38">
                  <c:v>100</c:v>
                </c:pt>
                <c:pt idx="39">
                  <c:v>110</c:v>
                </c:pt>
                <c:pt idx="40">
                  <c:v>120</c:v>
                </c:pt>
                <c:pt idx="41">
                  <c:v>130</c:v>
                </c:pt>
                <c:pt idx="42">
                  <c:v>140</c:v>
                </c:pt>
                <c:pt idx="43">
                  <c:v>150</c:v>
                </c:pt>
                <c:pt idx="44">
                  <c:v>160</c:v>
                </c:pt>
                <c:pt idx="45">
                  <c:v>170</c:v>
                </c:pt>
                <c:pt idx="46">
                  <c:v>180</c:v>
                </c:pt>
                <c:pt idx="47">
                  <c:v>190</c:v>
                </c:pt>
                <c:pt idx="48">
                  <c:v>200</c:v>
                </c:pt>
                <c:pt idx="49">
                  <c:v>210</c:v>
                </c:pt>
                <c:pt idx="50">
                  <c:v>220</c:v>
                </c:pt>
                <c:pt idx="51">
                  <c:v>230</c:v>
                </c:pt>
                <c:pt idx="52">
                  <c:v>240</c:v>
                </c:pt>
                <c:pt idx="53">
                  <c:v>250</c:v>
                </c:pt>
                <c:pt idx="54">
                  <c:v>260</c:v>
                </c:pt>
                <c:pt idx="55">
                  <c:v>270</c:v>
                </c:pt>
                <c:pt idx="56">
                  <c:v>280</c:v>
                </c:pt>
                <c:pt idx="57">
                  <c:v>290</c:v>
                </c:pt>
                <c:pt idx="58">
                  <c:v>300</c:v>
                </c:pt>
                <c:pt idx="59">
                  <c:v>310</c:v>
                </c:pt>
                <c:pt idx="60">
                  <c:v>320</c:v>
                </c:pt>
                <c:pt idx="61">
                  <c:v>330</c:v>
                </c:pt>
                <c:pt idx="62">
                  <c:v>340</c:v>
                </c:pt>
                <c:pt idx="63">
                  <c:v>350</c:v>
                </c:pt>
                <c:pt idx="64">
                  <c:v>360</c:v>
                </c:pt>
                <c:pt idx="65">
                  <c:v>370</c:v>
                </c:pt>
                <c:pt idx="66">
                  <c:v>380</c:v>
                </c:pt>
                <c:pt idx="67">
                  <c:v>390</c:v>
                </c:pt>
                <c:pt idx="68">
                  <c:v>400</c:v>
                </c:pt>
                <c:pt idx="69">
                  <c:v>410</c:v>
                </c:pt>
                <c:pt idx="70">
                  <c:v>420</c:v>
                </c:pt>
                <c:pt idx="71">
                  <c:v>430</c:v>
                </c:pt>
                <c:pt idx="72">
                  <c:v>440</c:v>
                </c:pt>
                <c:pt idx="73">
                  <c:v>450</c:v>
                </c:pt>
                <c:pt idx="74">
                  <c:v>460</c:v>
                </c:pt>
                <c:pt idx="75">
                  <c:v>470</c:v>
                </c:pt>
                <c:pt idx="76">
                  <c:v>480</c:v>
                </c:pt>
                <c:pt idx="77">
                  <c:v>490</c:v>
                </c:pt>
                <c:pt idx="78">
                  <c:v>500</c:v>
                </c:pt>
                <c:pt idx="79">
                  <c:v>510</c:v>
                </c:pt>
                <c:pt idx="80">
                  <c:v>520</c:v>
                </c:pt>
                <c:pt idx="81">
                  <c:v>530</c:v>
                </c:pt>
                <c:pt idx="82">
                  <c:v>540</c:v>
                </c:pt>
                <c:pt idx="83">
                  <c:v>550</c:v>
                </c:pt>
                <c:pt idx="84">
                  <c:v>560</c:v>
                </c:pt>
                <c:pt idx="85">
                  <c:v>570</c:v>
                </c:pt>
                <c:pt idx="86">
                  <c:v>580</c:v>
                </c:pt>
                <c:pt idx="87">
                  <c:v>590</c:v>
                </c:pt>
                <c:pt idx="88">
                  <c:v>600</c:v>
                </c:pt>
                <c:pt idx="89">
                  <c:v>610</c:v>
                </c:pt>
                <c:pt idx="90">
                  <c:v>620</c:v>
                </c:pt>
                <c:pt idx="91">
                  <c:v>630</c:v>
                </c:pt>
                <c:pt idx="92">
                  <c:v>640</c:v>
                </c:pt>
                <c:pt idx="93">
                  <c:v>650</c:v>
                </c:pt>
                <c:pt idx="94">
                  <c:v>660</c:v>
                </c:pt>
                <c:pt idx="95">
                  <c:v>670</c:v>
                </c:pt>
                <c:pt idx="96">
                  <c:v>680</c:v>
                </c:pt>
                <c:pt idx="97">
                  <c:v>690</c:v>
                </c:pt>
                <c:pt idx="98">
                  <c:v>700</c:v>
                </c:pt>
                <c:pt idx="99">
                  <c:v>710</c:v>
                </c:pt>
                <c:pt idx="100">
                  <c:v>720</c:v>
                </c:pt>
                <c:pt idx="101">
                  <c:v>730</c:v>
                </c:pt>
                <c:pt idx="102">
                  <c:v>740</c:v>
                </c:pt>
                <c:pt idx="103">
                  <c:v>750</c:v>
                </c:pt>
                <c:pt idx="104">
                  <c:v>760</c:v>
                </c:pt>
                <c:pt idx="105">
                  <c:v>770</c:v>
                </c:pt>
                <c:pt idx="106">
                  <c:v>780</c:v>
                </c:pt>
                <c:pt idx="107">
                  <c:v>790</c:v>
                </c:pt>
                <c:pt idx="108">
                  <c:v>800</c:v>
                </c:pt>
                <c:pt idx="109">
                  <c:v>810</c:v>
                </c:pt>
                <c:pt idx="110">
                  <c:v>820</c:v>
                </c:pt>
                <c:pt idx="111">
                  <c:v>830</c:v>
                </c:pt>
                <c:pt idx="112">
                  <c:v>840</c:v>
                </c:pt>
                <c:pt idx="113">
                  <c:v>850</c:v>
                </c:pt>
                <c:pt idx="114">
                  <c:v>860</c:v>
                </c:pt>
                <c:pt idx="115">
                  <c:v>870</c:v>
                </c:pt>
                <c:pt idx="116">
                  <c:v>880</c:v>
                </c:pt>
                <c:pt idx="117">
                  <c:v>890</c:v>
                </c:pt>
                <c:pt idx="118">
                  <c:v>900</c:v>
                </c:pt>
                <c:pt idx="119">
                  <c:v>910</c:v>
                </c:pt>
                <c:pt idx="120">
                  <c:v>920</c:v>
                </c:pt>
                <c:pt idx="121">
                  <c:v>930</c:v>
                </c:pt>
                <c:pt idx="122">
                  <c:v>940</c:v>
                </c:pt>
                <c:pt idx="123">
                  <c:v>950</c:v>
                </c:pt>
                <c:pt idx="124">
                  <c:v>960</c:v>
                </c:pt>
                <c:pt idx="125">
                  <c:v>970</c:v>
                </c:pt>
                <c:pt idx="126">
                  <c:v>980</c:v>
                </c:pt>
                <c:pt idx="127">
                  <c:v>990</c:v>
                </c:pt>
                <c:pt idx="128">
                  <c:v>1000</c:v>
                </c:pt>
                <c:pt idx="129">
                  <c:v>1020</c:v>
                </c:pt>
                <c:pt idx="130">
                  <c:v>1040</c:v>
                </c:pt>
                <c:pt idx="131">
                  <c:v>1060</c:v>
                </c:pt>
                <c:pt idx="132">
                  <c:v>1080</c:v>
                </c:pt>
                <c:pt idx="133">
                  <c:v>1100</c:v>
                </c:pt>
                <c:pt idx="134">
                  <c:v>1120</c:v>
                </c:pt>
                <c:pt idx="135">
                  <c:v>1140</c:v>
                </c:pt>
                <c:pt idx="136">
                  <c:v>1160</c:v>
                </c:pt>
                <c:pt idx="137">
                  <c:v>1180</c:v>
                </c:pt>
                <c:pt idx="138">
                  <c:v>1200</c:v>
                </c:pt>
                <c:pt idx="139">
                  <c:v>1220</c:v>
                </c:pt>
                <c:pt idx="140">
                  <c:v>1240</c:v>
                </c:pt>
                <c:pt idx="141">
                  <c:v>1260</c:v>
                </c:pt>
                <c:pt idx="142">
                  <c:v>1280</c:v>
                </c:pt>
                <c:pt idx="143">
                  <c:v>1300</c:v>
                </c:pt>
                <c:pt idx="144">
                  <c:v>1320</c:v>
                </c:pt>
                <c:pt idx="145">
                  <c:v>1340</c:v>
                </c:pt>
                <c:pt idx="146">
                  <c:v>1360</c:v>
                </c:pt>
                <c:pt idx="147">
                  <c:v>1380</c:v>
                </c:pt>
                <c:pt idx="148">
                  <c:v>1400</c:v>
                </c:pt>
                <c:pt idx="149">
                  <c:v>1420</c:v>
                </c:pt>
                <c:pt idx="150">
                  <c:v>1440</c:v>
                </c:pt>
                <c:pt idx="151">
                  <c:v>1460</c:v>
                </c:pt>
                <c:pt idx="152">
                  <c:v>1480</c:v>
                </c:pt>
                <c:pt idx="153">
                  <c:v>1500</c:v>
                </c:pt>
                <c:pt idx="154">
                  <c:v>1520</c:v>
                </c:pt>
                <c:pt idx="155">
                  <c:v>1540</c:v>
                </c:pt>
                <c:pt idx="156">
                  <c:v>1560</c:v>
                </c:pt>
                <c:pt idx="157">
                  <c:v>1580</c:v>
                </c:pt>
                <c:pt idx="158">
                  <c:v>1600</c:v>
                </c:pt>
                <c:pt idx="159">
                  <c:v>1620</c:v>
                </c:pt>
                <c:pt idx="160">
                  <c:v>1640</c:v>
                </c:pt>
                <c:pt idx="161">
                  <c:v>1660</c:v>
                </c:pt>
                <c:pt idx="162">
                  <c:v>1680</c:v>
                </c:pt>
                <c:pt idx="163">
                  <c:v>1700</c:v>
                </c:pt>
                <c:pt idx="164">
                  <c:v>1720</c:v>
                </c:pt>
                <c:pt idx="165">
                  <c:v>1740</c:v>
                </c:pt>
                <c:pt idx="166">
                  <c:v>1760</c:v>
                </c:pt>
                <c:pt idx="167">
                  <c:v>1780</c:v>
                </c:pt>
                <c:pt idx="168">
                  <c:v>1800</c:v>
                </c:pt>
                <c:pt idx="169">
                  <c:v>1820</c:v>
                </c:pt>
                <c:pt idx="170">
                  <c:v>1840</c:v>
                </c:pt>
                <c:pt idx="171">
                  <c:v>1860</c:v>
                </c:pt>
                <c:pt idx="172">
                  <c:v>1880</c:v>
                </c:pt>
                <c:pt idx="173">
                  <c:v>1900</c:v>
                </c:pt>
                <c:pt idx="174">
                  <c:v>1920</c:v>
                </c:pt>
                <c:pt idx="175">
                  <c:v>1940</c:v>
                </c:pt>
                <c:pt idx="176">
                  <c:v>1960</c:v>
                </c:pt>
                <c:pt idx="177">
                  <c:v>1980</c:v>
                </c:pt>
                <c:pt idx="178">
                  <c:v>2000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"硝态氮"</c:f>
              <c:strCache>
                <c:ptCount val="1"/>
                <c:pt idx="0">
                  <c:v>硝态氮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InNitrogenConcentration!$C$2:$C$180</c:f>
              <c:numCache>
                <c:formatCode>General</c:formatCode>
                <c:ptCount val="179"/>
                <c:pt idx="0">
                  <c:v>66.065777752</c:v>
                </c:pt>
                <c:pt idx="1">
                  <c:v>66.045064683</c:v>
                </c:pt>
                <c:pt idx="2">
                  <c:v>66.019239598</c:v>
                </c:pt>
                <c:pt idx="3">
                  <c:v>65.965652389</c:v>
                </c:pt>
                <c:pt idx="4">
                  <c:v>65.84045442</c:v>
                </c:pt>
                <c:pt idx="5">
                  <c:v>65.701004759</c:v>
                </c:pt>
                <c:pt idx="6">
                  <c:v>65.564030649</c:v>
                </c:pt>
                <c:pt idx="7">
                  <c:v>65.445915405</c:v>
                </c:pt>
                <c:pt idx="8">
                  <c:v>65.359477768</c:v>
                </c:pt>
                <c:pt idx="9">
                  <c:v>65.312918541</c:v>
                </c:pt>
                <c:pt idx="10">
                  <c:v>65.310122254</c:v>
                </c:pt>
                <c:pt idx="11">
                  <c:v>65.351648323</c:v>
                </c:pt>
                <c:pt idx="12">
                  <c:v>65.435862011</c:v>
                </c:pt>
                <c:pt idx="13">
                  <c:v>65.724051354</c:v>
                </c:pt>
                <c:pt idx="14">
                  <c:v>66.141152103</c:v>
                </c:pt>
                <c:pt idx="15">
                  <c:v>66.65888242</c:v>
                </c:pt>
                <c:pt idx="16">
                  <c:v>67.253548804</c:v>
                </c:pt>
                <c:pt idx="17">
                  <c:v>67.905087224</c:v>
                </c:pt>
                <c:pt idx="18">
                  <c:v>68.5965148127316</c:v>
                </c:pt>
                <c:pt idx="19">
                  <c:v>69.3127671920684</c:v>
                </c:pt>
                <c:pt idx="20">
                  <c:v>70.0394535911408</c:v>
                </c:pt>
                <c:pt idx="21">
                  <c:v>70.7636814452736</c:v>
                </c:pt>
                <c:pt idx="22">
                  <c:v>71.4747524392</c:v>
                </c:pt>
                <c:pt idx="23">
                  <c:v>72.3357558874102</c:v>
                </c:pt>
                <c:pt idx="24">
                  <c:v>73.1486855106219</c:v>
                </c:pt>
                <c:pt idx="25">
                  <c:v>73.903636772124</c:v>
                </c:pt>
                <c:pt idx="26">
                  <c:v>74.5912693397</c:v>
                </c:pt>
                <c:pt idx="27">
                  <c:v>66.6121071006563</c:v>
                </c:pt>
                <c:pt idx="28">
                  <c:v>67.659392861375</c:v>
                </c:pt>
                <c:pt idx="29">
                  <c:v>68.3487650938828</c:v>
                </c:pt>
                <c:pt idx="30">
                  <c:v>68.7454868016</c:v>
                </c:pt>
                <c:pt idx="31">
                  <c:v>68.9125219104375</c:v>
                </c:pt>
                <c:pt idx="32">
                  <c:v>68.925453412</c:v>
                </c:pt>
                <c:pt idx="33">
                  <c:v>68.8515594221391</c:v>
                </c:pt>
                <c:pt idx="34">
                  <c:v>68.71737532075</c:v>
                </c:pt>
                <c:pt idx="35">
                  <c:v>54.4810709596234</c:v>
                </c:pt>
                <c:pt idx="36">
                  <c:v>53.76074163115</c:v>
                </c:pt>
                <c:pt idx="37">
                  <c:v>53.0406384540734</c:v>
                </c:pt>
                <c:pt idx="38">
                  <c:v>52.3724361984</c:v>
                </c:pt>
                <c:pt idx="39">
                  <c:v>51.273787681971</c:v>
                </c:pt>
                <c:pt idx="40">
                  <c:v>50.7872926764</c:v>
                </c:pt>
                <c:pt idx="41">
                  <c:v>51.0575066926931</c:v>
                </c:pt>
                <c:pt idx="42">
                  <c:v>52.22099995215</c:v>
                </c:pt>
                <c:pt idx="43">
                  <c:v>54.3817193248</c:v>
                </c:pt>
                <c:pt idx="44">
                  <c:v>57.625329099</c:v>
                </c:pt>
                <c:pt idx="45">
                  <c:v>62.036681574225</c:v>
                </c:pt>
                <c:pt idx="46">
                  <c:v>67.7142557355</c:v>
                </c:pt>
                <c:pt idx="47">
                  <c:v>74.78085679725</c:v>
                </c:pt>
                <c:pt idx="48">
                  <c:v>83.35686303225</c:v>
                </c:pt>
                <c:pt idx="49">
                  <c:v>102.808182042191</c:v>
                </c:pt>
                <c:pt idx="50">
                  <c:v>111.4859025534</c:v>
                </c:pt>
                <c:pt idx="51">
                  <c:v>121.4044590803</c:v>
                </c:pt>
                <c:pt idx="52">
                  <c:v>132.616116234</c:v>
                </c:pt>
                <c:pt idx="53">
                  <c:v>145.175045511833</c:v>
                </c:pt>
                <c:pt idx="54">
                  <c:v>159.118120592</c:v>
                </c:pt>
                <c:pt idx="55">
                  <c:v>174.46153031482</c:v>
                </c:pt>
                <c:pt idx="56">
                  <c:v>191.203461144</c:v>
                </c:pt>
                <c:pt idx="57">
                  <c:v>209.318995737922</c:v>
                </c:pt>
                <c:pt idx="58">
                  <c:v>228.760758765</c:v>
                </c:pt>
                <c:pt idx="59">
                  <c:v>314.4238667076</c:v>
                </c:pt>
                <c:pt idx="60">
                  <c:v>321.104476576</c:v>
                </c:pt>
                <c:pt idx="61">
                  <c:v>327.422187498</c:v>
                </c:pt>
                <c:pt idx="62">
                  <c:v>333.29455718</c:v>
                </c:pt>
                <c:pt idx="63">
                  <c:v>338.6254179025</c:v>
                </c:pt>
                <c:pt idx="64">
                  <c:v>343.311690232</c:v>
                </c:pt>
                <c:pt idx="65">
                  <c:v>347.2449308275</c:v>
                </c:pt>
                <c:pt idx="66">
                  <c:v>350.302468882</c:v>
                </c:pt>
                <c:pt idx="67">
                  <c:v>352.358820313321</c:v>
                </c:pt>
                <c:pt idx="68">
                  <c:v>353.291336206</c:v>
                </c:pt>
                <c:pt idx="69">
                  <c:v>352.972695694885</c:v>
                </c:pt>
                <c:pt idx="70">
                  <c:v>351.2939055655</c:v>
                </c:pt>
                <c:pt idx="71">
                  <c:v>348.15592713718</c:v>
                </c:pt>
                <c:pt idx="72">
                  <c:v>343.4928866205</c:v>
                </c:pt>
                <c:pt idx="73">
                  <c:v>337.279306703181</c:v>
                </c:pt>
                <c:pt idx="74">
                  <c:v>329.5460912705</c:v>
                </c:pt>
                <c:pt idx="75">
                  <c:v>320.381609070656</c:v>
                </c:pt>
                <c:pt idx="76">
                  <c:v>309.943517814</c:v>
                </c:pt>
                <c:pt idx="77">
                  <c:v>298.454985077484</c:v>
                </c:pt>
                <c:pt idx="78">
                  <c:v>286.21141452</c:v>
                </c:pt>
                <c:pt idx="79">
                  <c:v>267.4505196</c:v>
                </c:pt>
                <c:pt idx="80">
                  <c:v>250.94349888</c:v>
                </c:pt>
                <c:pt idx="81">
                  <c:v>234.67295126675</c:v>
                </c:pt>
                <c:pt idx="82">
                  <c:v>218.9142195805</c:v>
                </c:pt>
                <c:pt idx="83">
                  <c:v>203.9317512215</c:v>
                </c:pt>
                <c:pt idx="84">
                  <c:v>189.939382357</c:v>
                </c:pt>
                <c:pt idx="85">
                  <c:v>177.1660981215</c:v>
                </c:pt>
                <c:pt idx="86">
                  <c:v>165.956273824</c:v>
                </c:pt>
                <c:pt idx="87">
                  <c:v>154.750674154125</c:v>
                </c:pt>
                <c:pt idx="88">
                  <c:v>143.51030031</c:v>
                </c:pt>
                <c:pt idx="89">
                  <c:v>133.787606783406</c:v>
                </c:pt>
                <c:pt idx="90">
                  <c:v>123.9538122645</c:v>
                </c:pt>
                <c:pt idx="91">
                  <c:v>115.508899557441</c:v>
                </c:pt>
                <c:pt idx="92">
                  <c:v>106.9627005882</c:v>
                </c:pt>
                <c:pt idx="93">
                  <c:v>99.6536769026995</c:v>
                </c:pt>
                <c:pt idx="94">
                  <c:v>92.23184867875</c:v>
                </c:pt>
                <c:pt idx="95">
                  <c:v>85.8996154734513</c:v>
                </c:pt>
                <c:pt idx="96">
                  <c:v>79.4429564593</c:v>
                </c:pt>
                <c:pt idx="97">
                  <c:v>73.9444204582721</c:v>
                </c:pt>
                <c:pt idx="98">
                  <c:v>68.3163999231</c:v>
                </c:pt>
                <c:pt idx="99">
                  <c:v>63.54462074085</c:v>
                </c:pt>
                <c:pt idx="100">
                  <c:v>58.6643853978</c:v>
                </c:pt>
                <c:pt idx="101">
                  <c:v>54.51813226476</c:v>
                </c:pt>
                <c:pt idx="102">
                  <c:v>50.2715610076</c:v>
                </c:pt>
                <c:pt idx="103">
                  <c:v>46.67845445802</c:v>
                </c:pt>
                <c:pt idx="104">
                  <c:v>42.99702961345</c:v>
                </c:pt>
                <c:pt idx="105">
                  <c:v>39.896704353209</c:v>
                </c:pt>
                <c:pt idx="106">
                  <c:v>36.7190873946</c:v>
                </c:pt>
                <c:pt idx="107">
                  <c:v>34.0577389090635</c:v>
                </c:pt>
                <c:pt idx="108">
                  <c:v>31.3296966675</c:v>
                </c:pt>
                <c:pt idx="109">
                  <c:v>29.05851805136</c:v>
                </c:pt>
                <c:pt idx="110">
                  <c:v>26.7308468973</c:v>
                </c:pt>
                <c:pt idx="111">
                  <c:v>24.8069630023908</c:v>
                </c:pt>
                <c:pt idx="112">
                  <c:v>22.8349960725</c:v>
                </c:pt>
                <c:pt idx="113">
                  <c:v>21.2173537154908</c:v>
                </c:pt>
                <c:pt idx="114">
                  <c:v>19.58743327025</c:v>
                </c:pt>
                <c:pt idx="115">
                  <c:v>17.9348707727</c:v>
                </c:pt>
                <c:pt idx="116">
                  <c:v>16.53018297255</c:v>
                </c:pt>
                <c:pt idx="117">
                  <c:v>15.3695797815</c:v>
                </c:pt>
                <c:pt idx="118">
                  <c:v>14.18380421005</c:v>
                </c:pt>
                <c:pt idx="119">
                  <c:v>13.23170095156</c:v>
                </c:pt>
                <c:pt idx="120">
                  <c:v>12.259466088375</c:v>
                </c:pt>
                <c:pt idx="121">
                  <c:v>11.48654068925</c:v>
                </c:pt>
                <c:pt idx="122">
                  <c:v>10.6965802295</c:v>
                </c:pt>
                <c:pt idx="123">
                  <c:v>10.0757206036875</c:v>
                </c:pt>
                <c:pt idx="124">
                  <c:v>9.439763671705</c:v>
                </c:pt>
                <c:pt idx="125">
                  <c:v>8.94670613084763</c:v>
                </c:pt>
                <c:pt idx="126">
                  <c:v>8.439476420655</c:v>
                </c:pt>
                <c:pt idx="127">
                  <c:v>8.05282922554114</c:v>
                </c:pt>
                <c:pt idx="128">
                  <c:v>7.65213704375</c:v>
                </c:pt>
                <c:pt idx="129">
                  <c:v>7.1573501181</c:v>
                </c:pt>
                <c:pt idx="130">
                  <c:v>6.59892868864</c:v>
                </c:pt>
                <c:pt idx="131">
                  <c:v>6.33648584192</c:v>
                </c:pt>
                <c:pt idx="132">
                  <c:v>6.001913100645</c:v>
                </c:pt>
                <c:pt idx="133">
                  <c:v>5.88875019984</c:v>
                </c:pt>
                <c:pt idx="134">
                  <c:v>5.696351933595</c:v>
                </c:pt>
                <c:pt idx="135">
                  <c:v>5.67701317587</c:v>
                </c:pt>
                <c:pt idx="136">
                  <c:v>5.57246236412</c:v>
                </c:pt>
                <c:pt idx="137">
                  <c:v>5.61101435597</c:v>
                </c:pt>
                <c:pt idx="138">
                  <c:v>5.558557570275</c:v>
                </c:pt>
                <c:pt idx="139">
                  <c:v>5.631880954235</c:v>
                </c:pt>
                <c:pt idx="140">
                  <c:v>5.60645650476</c:v>
                </c:pt>
                <c:pt idx="141">
                  <c:v>5.66037081492</c:v>
                </c:pt>
                <c:pt idx="142">
                  <c:v>5.78702011391</c:v>
                </c:pt>
                <c:pt idx="143">
                  <c:v>5.79081844572</c:v>
                </c:pt>
                <c:pt idx="144">
                  <c:v>5.8946139684</c:v>
                </c:pt>
                <c:pt idx="145">
                  <c:v>5.89629790308</c:v>
                </c:pt>
                <c:pt idx="146">
                  <c:v>5.7960403345</c:v>
                </c:pt>
                <c:pt idx="147">
                  <c:v>5.79406425304</c:v>
                </c:pt>
                <c:pt idx="148">
                  <c:v>5.659725800505</c:v>
                </c:pt>
                <c:pt idx="149">
                  <c:v>5.62918424649</c:v>
                </c:pt>
                <c:pt idx="150">
                  <c:v>5.46545085471</c:v>
                </c:pt>
                <c:pt idx="151">
                  <c:v>5.36059974648</c:v>
                </c:pt>
                <c:pt idx="152">
                  <c:v>5.2835422065</c:v>
                </c:pt>
                <c:pt idx="153">
                  <c:v>5.268566223</c:v>
                </c:pt>
                <c:pt idx="154">
                  <c:v>5.155660894785</c:v>
                </c:pt>
                <c:pt idx="155">
                  <c:v>5.15655806975</c:v>
                </c:pt>
                <c:pt idx="156">
                  <c:v>5.05357557572</c:v>
                </c:pt>
                <c:pt idx="157">
                  <c:v>5.09229293979</c:v>
                </c:pt>
                <c:pt idx="158">
                  <c:v>5.045220312</c:v>
                </c:pt>
                <c:pt idx="159">
                  <c:v>4.8504982785</c:v>
                </c:pt>
                <c:pt idx="160">
                  <c:v>4.77709473956</c:v>
                </c:pt>
                <c:pt idx="161">
                  <c:v>4.8194191314</c:v>
                </c:pt>
                <c:pt idx="162">
                  <c:v>5.0035380675</c:v>
                </c:pt>
                <c:pt idx="163">
                  <c:v>5.0534766576</c:v>
                </c:pt>
                <c:pt idx="164">
                  <c:v>5.210700250075</c:v>
                </c:pt>
                <c:pt idx="165">
                  <c:v>5.256054158775</c:v>
                </c:pt>
                <c:pt idx="166">
                  <c:v>5.21990130156</c:v>
                </c:pt>
                <c:pt idx="167">
                  <c:v>5.0938641318</c:v>
                </c:pt>
                <c:pt idx="168">
                  <c:v>5.07279303817</c:v>
                </c:pt>
                <c:pt idx="169">
                  <c:v>4.9542007536</c:v>
                </c:pt>
                <c:pt idx="170">
                  <c:v>4.93478039512</c:v>
                </c:pt>
                <c:pt idx="171">
                  <c:v>4.82491337328</c:v>
                </c:pt>
                <c:pt idx="172">
                  <c:v>4.808718432</c:v>
                </c:pt>
                <c:pt idx="173">
                  <c:v>4.70830399808</c:v>
                </c:pt>
                <c:pt idx="174">
                  <c:v>4.696472838</c:v>
                </c:pt>
                <c:pt idx="175">
                  <c:v>4.60587532464</c:v>
                </c:pt>
                <c:pt idx="176">
                  <c:v>4.5991714286</c:v>
                </c:pt>
                <c:pt idx="177">
                  <c:v>4.51840736128</c:v>
                </c:pt>
                <c:pt idx="178">
                  <c:v>4.51726368041</c:v>
                </c:pt>
              </c:numCache>
            </c:numRef>
          </c:xVal>
          <c:yVal>
            <c:numRef>
              <c:f>[1]InNitrogenConcentration!$A$2:$A$180</c:f>
              <c:numCache>
                <c:formatCode>General</c:formatCode>
                <c:ptCount val="17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12</c:v>
                </c:pt>
                <c:pt idx="14">
                  <c:v>14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32.5</c:v>
                </c:pt>
                <c:pt idx="24">
                  <c:v>35</c:v>
                </c:pt>
                <c:pt idx="25">
                  <c:v>37.5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70</c:v>
                </c:pt>
                <c:pt idx="33">
                  <c:v>75</c:v>
                </c:pt>
                <c:pt idx="34">
                  <c:v>80</c:v>
                </c:pt>
                <c:pt idx="35">
                  <c:v>85</c:v>
                </c:pt>
                <c:pt idx="36">
                  <c:v>90</c:v>
                </c:pt>
                <c:pt idx="37">
                  <c:v>95</c:v>
                </c:pt>
                <c:pt idx="38">
                  <c:v>100</c:v>
                </c:pt>
                <c:pt idx="39">
                  <c:v>110</c:v>
                </c:pt>
                <c:pt idx="40">
                  <c:v>120</c:v>
                </c:pt>
                <c:pt idx="41">
                  <c:v>130</c:v>
                </c:pt>
                <c:pt idx="42">
                  <c:v>140</c:v>
                </c:pt>
                <c:pt idx="43">
                  <c:v>150</c:v>
                </c:pt>
                <c:pt idx="44">
                  <c:v>160</c:v>
                </c:pt>
                <c:pt idx="45">
                  <c:v>170</c:v>
                </c:pt>
                <c:pt idx="46">
                  <c:v>180</c:v>
                </c:pt>
                <c:pt idx="47">
                  <c:v>190</c:v>
                </c:pt>
                <c:pt idx="48">
                  <c:v>200</c:v>
                </c:pt>
                <c:pt idx="49">
                  <c:v>210</c:v>
                </c:pt>
                <c:pt idx="50">
                  <c:v>220</c:v>
                </c:pt>
                <c:pt idx="51">
                  <c:v>230</c:v>
                </c:pt>
                <c:pt idx="52">
                  <c:v>240</c:v>
                </c:pt>
                <c:pt idx="53">
                  <c:v>250</c:v>
                </c:pt>
                <c:pt idx="54">
                  <c:v>260</c:v>
                </c:pt>
                <c:pt idx="55">
                  <c:v>270</c:v>
                </c:pt>
                <c:pt idx="56">
                  <c:v>280</c:v>
                </c:pt>
                <c:pt idx="57">
                  <c:v>290</c:v>
                </c:pt>
                <c:pt idx="58">
                  <c:v>300</c:v>
                </c:pt>
                <c:pt idx="59">
                  <c:v>310</c:v>
                </c:pt>
                <c:pt idx="60">
                  <c:v>320</c:v>
                </c:pt>
                <c:pt idx="61">
                  <c:v>330</c:v>
                </c:pt>
                <c:pt idx="62">
                  <c:v>340</c:v>
                </c:pt>
                <c:pt idx="63">
                  <c:v>350</c:v>
                </c:pt>
                <c:pt idx="64">
                  <c:v>360</c:v>
                </c:pt>
                <c:pt idx="65">
                  <c:v>370</c:v>
                </c:pt>
                <c:pt idx="66">
                  <c:v>380</c:v>
                </c:pt>
                <c:pt idx="67">
                  <c:v>390</c:v>
                </c:pt>
                <c:pt idx="68">
                  <c:v>400</c:v>
                </c:pt>
                <c:pt idx="69">
                  <c:v>410</c:v>
                </c:pt>
                <c:pt idx="70">
                  <c:v>420</c:v>
                </c:pt>
                <c:pt idx="71">
                  <c:v>430</c:v>
                </c:pt>
                <c:pt idx="72">
                  <c:v>440</c:v>
                </c:pt>
                <c:pt idx="73">
                  <c:v>450</c:v>
                </c:pt>
                <c:pt idx="74">
                  <c:v>460</c:v>
                </c:pt>
                <c:pt idx="75">
                  <c:v>470</c:v>
                </c:pt>
                <c:pt idx="76">
                  <c:v>480</c:v>
                </c:pt>
                <c:pt idx="77">
                  <c:v>490</c:v>
                </c:pt>
                <c:pt idx="78">
                  <c:v>500</c:v>
                </c:pt>
                <c:pt idx="79">
                  <c:v>510</c:v>
                </c:pt>
                <c:pt idx="80">
                  <c:v>520</c:v>
                </c:pt>
                <c:pt idx="81">
                  <c:v>530</c:v>
                </c:pt>
                <c:pt idx="82">
                  <c:v>540</c:v>
                </c:pt>
                <c:pt idx="83">
                  <c:v>550</c:v>
                </c:pt>
                <c:pt idx="84">
                  <c:v>560</c:v>
                </c:pt>
                <c:pt idx="85">
                  <c:v>570</c:v>
                </c:pt>
                <c:pt idx="86">
                  <c:v>580</c:v>
                </c:pt>
                <c:pt idx="87">
                  <c:v>590</c:v>
                </c:pt>
                <c:pt idx="88">
                  <c:v>600</c:v>
                </c:pt>
                <c:pt idx="89">
                  <c:v>610</c:v>
                </c:pt>
                <c:pt idx="90">
                  <c:v>620</c:v>
                </c:pt>
                <c:pt idx="91">
                  <c:v>630</c:v>
                </c:pt>
                <c:pt idx="92">
                  <c:v>640</c:v>
                </c:pt>
                <c:pt idx="93">
                  <c:v>650</c:v>
                </c:pt>
                <c:pt idx="94">
                  <c:v>660</c:v>
                </c:pt>
                <c:pt idx="95">
                  <c:v>670</c:v>
                </c:pt>
                <c:pt idx="96">
                  <c:v>680</c:v>
                </c:pt>
                <c:pt idx="97">
                  <c:v>690</c:v>
                </c:pt>
                <c:pt idx="98">
                  <c:v>700</c:v>
                </c:pt>
                <c:pt idx="99">
                  <c:v>710</c:v>
                </c:pt>
                <c:pt idx="100">
                  <c:v>720</c:v>
                </c:pt>
                <c:pt idx="101">
                  <c:v>730</c:v>
                </c:pt>
                <c:pt idx="102">
                  <c:v>740</c:v>
                </c:pt>
                <c:pt idx="103">
                  <c:v>750</c:v>
                </c:pt>
                <c:pt idx="104">
                  <c:v>760</c:v>
                </c:pt>
                <c:pt idx="105">
                  <c:v>770</c:v>
                </c:pt>
                <c:pt idx="106">
                  <c:v>780</c:v>
                </c:pt>
                <c:pt idx="107">
                  <c:v>790</c:v>
                </c:pt>
                <c:pt idx="108">
                  <c:v>800</c:v>
                </c:pt>
                <c:pt idx="109">
                  <c:v>810</c:v>
                </c:pt>
                <c:pt idx="110">
                  <c:v>820</c:v>
                </c:pt>
                <c:pt idx="111">
                  <c:v>830</c:v>
                </c:pt>
                <c:pt idx="112">
                  <c:v>840</c:v>
                </c:pt>
                <c:pt idx="113">
                  <c:v>850</c:v>
                </c:pt>
                <c:pt idx="114">
                  <c:v>860</c:v>
                </c:pt>
                <c:pt idx="115">
                  <c:v>870</c:v>
                </c:pt>
                <c:pt idx="116">
                  <c:v>880</c:v>
                </c:pt>
                <c:pt idx="117">
                  <c:v>890</c:v>
                </c:pt>
                <c:pt idx="118">
                  <c:v>900</c:v>
                </c:pt>
                <c:pt idx="119">
                  <c:v>910</c:v>
                </c:pt>
                <c:pt idx="120">
                  <c:v>920</c:v>
                </c:pt>
                <c:pt idx="121">
                  <c:v>930</c:v>
                </c:pt>
                <c:pt idx="122">
                  <c:v>940</c:v>
                </c:pt>
                <c:pt idx="123">
                  <c:v>950</c:v>
                </c:pt>
                <c:pt idx="124">
                  <c:v>960</c:v>
                </c:pt>
                <c:pt idx="125">
                  <c:v>970</c:v>
                </c:pt>
                <c:pt idx="126">
                  <c:v>980</c:v>
                </c:pt>
                <c:pt idx="127">
                  <c:v>990</c:v>
                </c:pt>
                <c:pt idx="128">
                  <c:v>1000</c:v>
                </c:pt>
                <c:pt idx="129">
                  <c:v>1020</c:v>
                </c:pt>
                <c:pt idx="130">
                  <c:v>1040</c:v>
                </c:pt>
                <c:pt idx="131">
                  <c:v>1060</c:v>
                </c:pt>
                <c:pt idx="132">
                  <c:v>1080</c:v>
                </c:pt>
                <c:pt idx="133">
                  <c:v>1100</c:v>
                </c:pt>
                <c:pt idx="134">
                  <c:v>1120</c:v>
                </c:pt>
                <c:pt idx="135">
                  <c:v>1140</c:v>
                </c:pt>
                <c:pt idx="136">
                  <c:v>1160</c:v>
                </c:pt>
                <c:pt idx="137">
                  <c:v>1180</c:v>
                </c:pt>
                <c:pt idx="138">
                  <c:v>1200</c:v>
                </c:pt>
                <c:pt idx="139">
                  <c:v>1220</c:v>
                </c:pt>
                <c:pt idx="140">
                  <c:v>1240</c:v>
                </c:pt>
                <c:pt idx="141">
                  <c:v>1260</c:v>
                </c:pt>
                <c:pt idx="142">
                  <c:v>1280</c:v>
                </c:pt>
                <c:pt idx="143">
                  <c:v>1300</c:v>
                </c:pt>
                <c:pt idx="144">
                  <c:v>1320</c:v>
                </c:pt>
                <c:pt idx="145">
                  <c:v>1340</c:v>
                </c:pt>
                <c:pt idx="146">
                  <c:v>1360</c:v>
                </c:pt>
                <c:pt idx="147">
                  <c:v>1380</c:v>
                </c:pt>
                <c:pt idx="148">
                  <c:v>1400</c:v>
                </c:pt>
                <c:pt idx="149">
                  <c:v>1420</c:v>
                </c:pt>
                <c:pt idx="150">
                  <c:v>1440</c:v>
                </c:pt>
                <c:pt idx="151">
                  <c:v>1460</c:v>
                </c:pt>
                <c:pt idx="152">
                  <c:v>1480</c:v>
                </c:pt>
                <c:pt idx="153">
                  <c:v>1500</c:v>
                </c:pt>
                <c:pt idx="154">
                  <c:v>1520</c:v>
                </c:pt>
                <c:pt idx="155">
                  <c:v>1540</c:v>
                </c:pt>
                <c:pt idx="156">
                  <c:v>1560</c:v>
                </c:pt>
                <c:pt idx="157">
                  <c:v>1580</c:v>
                </c:pt>
                <c:pt idx="158">
                  <c:v>1600</c:v>
                </c:pt>
                <c:pt idx="159">
                  <c:v>1620</c:v>
                </c:pt>
                <c:pt idx="160">
                  <c:v>1640</c:v>
                </c:pt>
                <c:pt idx="161">
                  <c:v>1660</c:v>
                </c:pt>
                <c:pt idx="162">
                  <c:v>1680</c:v>
                </c:pt>
                <c:pt idx="163">
                  <c:v>1700</c:v>
                </c:pt>
                <c:pt idx="164">
                  <c:v>1720</c:v>
                </c:pt>
                <c:pt idx="165">
                  <c:v>1740</c:v>
                </c:pt>
                <c:pt idx="166">
                  <c:v>1760</c:v>
                </c:pt>
                <c:pt idx="167">
                  <c:v>1780</c:v>
                </c:pt>
                <c:pt idx="168">
                  <c:v>1800</c:v>
                </c:pt>
                <c:pt idx="169">
                  <c:v>1820</c:v>
                </c:pt>
                <c:pt idx="170">
                  <c:v>1840</c:v>
                </c:pt>
                <c:pt idx="171">
                  <c:v>1860</c:v>
                </c:pt>
                <c:pt idx="172">
                  <c:v>1880</c:v>
                </c:pt>
                <c:pt idx="173">
                  <c:v>1900</c:v>
                </c:pt>
                <c:pt idx="174">
                  <c:v>1920</c:v>
                </c:pt>
                <c:pt idx="175">
                  <c:v>1940</c:v>
                </c:pt>
                <c:pt idx="176">
                  <c:v>1960</c:v>
                </c:pt>
                <c:pt idx="177">
                  <c:v>1980</c:v>
                </c:pt>
                <c:pt idx="178">
                  <c:v>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093182"/>
        <c:axId val="62714490"/>
      </c:scatterChart>
      <c:valAx>
        <c:axId val="1571541088"/>
        <c:scaling>
          <c:orientation val="minMax"/>
          <c:max val="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1542528"/>
        <c:crosses val="autoZero"/>
        <c:crossBetween val="midCat"/>
      </c:valAx>
      <c:valAx>
        <c:axId val="1571542528"/>
        <c:scaling>
          <c:orientation val="maxMin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1541088"/>
        <c:crosses val="autoZero"/>
        <c:crossBetween val="midCat"/>
      </c:valAx>
      <c:valAx>
        <c:axId val="3470931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14490"/>
        <c:crosses val="max"/>
        <c:crossBetween val="midCat"/>
      </c:valAx>
      <c:valAx>
        <c:axId val="62714490"/>
        <c:scaling>
          <c:orientation val="maxMin"/>
          <c:max val="2000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093182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a65213-d88f-41e1-96ee-8837d91e17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438785</xdr:colOff>
      <xdr:row>2</xdr:row>
      <xdr:rowOff>133350</xdr:rowOff>
    </xdr:from>
    <xdr:to>
      <xdr:col>15</xdr:col>
      <xdr:colOff>187325</xdr:colOff>
      <xdr:row>37</xdr:row>
      <xdr:rowOff>161925</xdr:rowOff>
    </xdr:to>
    <xdr:graphicFrame>
      <xdr:nvGraphicFramePr>
        <xdr:cNvPr id="2" name="图表 1"/>
        <xdr:cNvGraphicFramePr/>
      </xdr:nvGraphicFramePr>
      <xdr:xfrm>
        <a:off x="10840085" y="485775"/>
        <a:ext cx="4092575" cy="636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NitrogenConcentration - 2.xlsx.578B84106BCBE238C3E9B7722FA30B08.20250813185241177.et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NitrogenConcentration"/>
      <sheetName val="InNitrogenConcentration-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5"/>
  <sheetViews>
    <sheetView tabSelected="1" workbookViewId="0">
      <selection activeCell="B2" sqref="B2:C205"/>
    </sheetView>
  </sheetViews>
  <sheetFormatPr defaultColWidth="9" defaultRowHeight="13.5"/>
  <cols>
    <col min="2" max="2" width="14.375" customWidth="1"/>
    <col min="3" max="3" width="19.375" customWidth="1"/>
    <col min="4" max="4" width="12.625" customWidth="1"/>
    <col min="5" max="5" width="13.5" customWidth="1"/>
    <col min="6" max="6" width="14"/>
    <col min="7" max="7" width="9" style="1"/>
    <col min="8" max="8" width="15.625" customWidth="1"/>
    <col min="9" max="9" width="15.375" customWidth="1"/>
    <col min="10" max="10" width="13.625" customWidth="1"/>
    <col min="11" max="11" width="12.625"/>
    <col min="12" max="12" width="13.7583333333333"/>
    <col min="13" max="13" width="12.6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ht="14.25" spans="1:14">
      <c r="A2" s="2">
        <v>0</v>
      </c>
      <c r="B2" s="3">
        <v>1.6405245441</v>
      </c>
      <c r="C2" s="3">
        <v>66.065777752</v>
      </c>
      <c r="D2" s="3">
        <v>0.33085542</v>
      </c>
      <c r="E2" s="3">
        <v>1.748651</v>
      </c>
      <c r="F2" s="3">
        <v>87.28708</v>
      </c>
      <c r="G2" s="4">
        <v>1.3</v>
      </c>
      <c r="H2">
        <f t="shared" ref="H2:H65" si="0">B2*G2</f>
        <v>2.13268190733</v>
      </c>
      <c r="I2">
        <f t="shared" ref="I2:I65" si="1">C2*G2</f>
        <v>85.8855110776</v>
      </c>
      <c r="J2">
        <f t="shared" ref="J2:J65" si="2">D2*100</f>
        <v>33.085542</v>
      </c>
      <c r="K2" s="7">
        <f>F2*10</f>
        <v>872.8708</v>
      </c>
      <c r="L2" s="8"/>
      <c r="N2" s="2"/>
    </row>
    <row r="3" ht="14.25" spans="1:14">
      <c r="A3" s="5">
        <v>0.25</v>
      </c>
      <c r="B3" s="3">
        <v>1.6404202009</v>
      </c>
      <c r="C3" s="3">
        <v>66.045064683</v>
      </c>
      <c r="D3" s="3">
        <v>0.330863539</v>
      </c>
      <c r="E3" s="3">
        <v>1.895960607</v>
      </c>
      <c r="F3" s="3">
        <v>87.28711</v>
      </c>
      <c r="G3" s="4">
        <v>1.3</v>
      </c>
      <c r="H3">
        <f t="shared" si="0"/>
        <v>2.13254626117</v>
      </c>
      <c r="I3">
        <f t="shared" si="1"/>
        <v>85.8585840879</v>
      </c>
      <c r="J3">
        <f t="shared" si="2"/>
        <v>33.0863539</v>
      </c>
      <c r="K3" s="7">
        <f t="shared" ref="K3:K66" si="3">F3*10</f>
        <v>872.8711</v>
      </c>
      <c r="L3" s="8"/>
      <c r="N3" s="9"/>
    </row>
    <row r="4" ht="14.25" spans="1:14">
      <c r="A4" s="6">
        <v>0.5</v>
      </c>
      <c r="B4" s="3">
        <v>1.6408513589</v>
      </c>
      <c r="C4" s="3">
        <v>66.019239598</v>
      </c>
      <c r="D4" s="3">
        <v>0.330839708</v>
      </c>
      <c r="E4" s="3">
        <v>2.04334838</v>
      </c>
      <c r="F4" s="3">
        <v>87.28713</v>
      </c>
      <c r="G4" s="4">
        <v>1.3</v>
      </c>
      <c r="H4">
        <f t="shared" si="0"/>
        <v>2.13310676657</v>
      </c>
      <c r="I4">
        <f t="shared" si="1"/>
        <v>85.8250114774</v>
      </c>
      <c r="J4">
        <f t="shared" si="2"/>
        <v>33.0839708</v>
      </c>
      <c r="K4" s="7">
        <f t="shared" si="3"/>
        <v>872.8713</v>
      </c>
      <c r="L4" s="8"/>
      <c r="N4" s="2"/>
    </row>
    <row r="5" ht="14.25" spans="1:14">
      <c r="A5" s="2">
        <v>1</v>
      </c>
      <c r="B5" s="3">
        <v>1.6432039169</v>
      </c>
      <c r="C5" s="3">
        <v>65.965652389</v>
      </c>
      <c r="D5" s="3">
        <v>0.330793878</v>
      </c>
      <c r="E5" s="3">
        <v>2.337025776</v>
      </c>
      <c r="F5" s="3">
        <v>87.28715</v>
      </c>
      <c r="G5" s="4">
        <v>1.3</v>
      </c>
      <c r="H5">
        <f t="shared" si="0"/>
        <v>2.13616509197</v>
      </c>
      <c r="I5">
        <f t="shared" si="1"/>
        <v>85.7553481057</v>
      </c>
      <c r="J5">
        <f t="shared" si="2"/>
        <v>33.0793878</v>
      </c>
      <c r="K5" s="7">
        <f t="shared" si="3"/>
        <v>872.8715</v>
      </c>
      <c r="L5" s="8"/>
      <c r="N5" s="2"/>
    </row>
    <row r="6" ht="14.25" spans="1:14">
      <c r="A6" s="2">
        <v>2</v>
      </c>
      <c r="B6" s="3">
        <v>1.6552487887</v>
      </c>
      <c r="C6" s="3">
        <v>65.84045442</v>
      </c>
      <c r="D6" s="3">
        <v>0.330709385</v>
      </c>
      <c r="E6" s="3">
        <v>2.916941967</v>
      </c>
      <c r="F6" s="3">
        <v>87.2872</v>
      </c>
      <c r="G6" s="4">
        <v>1.3</v>
      </c>
      <c r="H6">
        <f t="shared" si="0"/>
        <v>2.15182342531</v>
      </c>
      <c r="I6">
        <f t="shared" si="1"/>
        <v>85.592590746</v>
      </c>
      <c r="J6">
        <f t="shared" si="2"/>
        <v>33.0709385</v>
      </c>
      <c r="K6" s="7">
        <f t="shared" si="3"/>
        <v>872.872</v>
      </c>
      <c r="L6" s="8"/>
      <c r="N6" s="2"/>
    </row>
    <row r="7" ht="14.25" spans="1:14">
      <c r="A7" s="2">
        <v>3</v>
      </c>
      <c r="B7" s="3">
        <v>1.6755098243</v>
      </c>
      <c r="C7" s="3">
        <v>65.701004759</v>
      </c>
      <c r="D7" s="3">
        <v>0.330634259</v>
      </c>
      <c r="E7" s="3">
        <v>3.48145049</v>
      </c>
      <c r="F7" s="3">
        <v>87.28731</v>
      </c>
      <c r="G7" s="4">
        <v>1.3</v>
      </c>
      <c r="H7">
        <f t="shared" si="0"/>
        <v>2.17816277159</v>
      </c>
      <c r="I7">
        <f t="shared" si="1"/>
        <v>85.4113061867</v>
      </c>
      <c r="J7">
        <f t="shared" si="2"/>
        <v>33.0634259</v>
      </c>
      <c r="K7" s="7">
        <f t="shared" si="3"/>
        <v>872.8731</v>
      </c>
      <c r="L7" s="8"/>
      <c r="N7" s="2"/>
    </row>
    <row r="8" ht="14.25" spans="1:14">
      <c r="A8" s="2">
        <v>4</v>
      </c>
      <c r="B8" s="3">
        <v>1.700645882</v>
      </c>
      <c r="C8" s="3">
        <v>65.564030649</v>
      </c>
      <c r="D8" s="3">
        <v>0.330568672</v>
      </c>
      <c r="E8" s="3">
        <v>4.027079413</v>
      </c>
      <c r="F8" s="3">
        <v>87.28748</v>
      </c>
      <c r="G8" s="4">
        <v>1.3</v>
      </c>
      <c r="H8">
        <f t="shared" si="0"/>
        <v>2.2108396466</v>
      </c>
      <c r="I8">
        <f t="shared" si="1"/>
        <v>85.2332398437</v>
      </c>
      <c r="J8">
        <f t="shared" si="2"/>
        <v>33.0568672</v>
      </c>
      <c r="K8" s="7">
        <f t="shared" si="3"/>
        <v>872.8748</v>
      </c>
      <c r="L8" s="8"/>
      <c r="N8" s="2"/>
    </row>
    <row r="9" ht="14.25" spans="1:14">
      <c r="A9" s="2">
        <v>5</v>
      </c>
      <c r="B9" s="3">
        <v>1.7281485351</v>
      </c>
      <c r="C9" s="3">
        <v>65.445915405</v>
      </c>
      <c r="D9" s="3">
        <v>0.330512882</v>
      </c>
      <c r="E9" s="3">
        <v>4.551583242</v>
      </c>
      <c r="F9" s="3">
        <v>87.28771</v>
      </c>
      <c r="G9" s="4">
        <v>1.3</v>
      </c>
      <c r="H9">
        <f t="shared" si="0"/>
        <v>2.24659309563</v>
      </c>
      <c r="I9">
        <f t="shared" si="1"/>
        <v>85.0796900265</v>
      </c>
      <c r="J9">
        <f t="shared" si="2"/>
        <v>33.0512882</v>
      </c>
      <c r="K9" s="7">
        <f t="shared" si="3"/>
        <v>872.8771</v>
      </c>
      <c r="L9" s="8"/>
      <c r="N9" s="2"/>
    </row>
    <row r="10" ht="14.25" spans="1:14">
      <c r="A10" s="2">
        <v>6</v>
      </c>
      <c r="B10" s="3">
        <v>1.7564824667</v>
      </c>
      <c r="C10" s="3">
        <v>65.359477768</v>
      </c>
      <c r="D10" s="3">
        <v>0.330467202</v>
      </c>
      <c r="E10" s="3">
        <v>5.053471929</v>
      </c>
      <c r="F10" s="3">
        <v>87.28797</v>
      </c>
      <c r="G10" s="4">
        <v>1.3</v>
      </c>
      <c r="H10">
        <f t="shared" si="0"/>
        <v>2.28342720671</v>
      </c>
      <c r="I10">
        <f t="shared" si="1"/>
        <v>84.9673210984</v>
      </c>
      <c r="J10">
        <f t="shared" si="2"/>
        <v>33.0467202</v>
      </c>
      <c r="K10" s="7">
        <f t="shared" si="3"/>
        <v>872.8797</v>
      </c>
      <c r="L10" s="8"/>
      <c r="N10" s="2"/>
    </row>
    <row r="11" ht="14.25" spans="1:14">
      <c r="A11" s="2">
        <v>7</v>
      </c>
      <c r="B11" s="3">
        <v>1.784863756</v>
      </c>
      <c r="C11" s="3">
        <v>65.312918541</v>
      </c>
      <c r="D11" s="3">
        <v>0.33043194</v>
      </c>
      <c r="E11" s="3">
        <v>5.531758449</v>
      </c>
      <c r="F11" s="3">
        <v>87.28826</v>
      </c>
      <c r="G11" s="4">
        <v>1.3</v>
      </c>
      <c r="H11">
        <f t="shared" si="0"/>
        <v>2.3203228828</v>
      </c>
      <c r="I11">
        <f t="shared" si="1"/>
        <v>84.9067941033</v>
      </c>
      <c r="J11">
        <f t="shared" si="2"/>
        <v>33.043194</v>
      </c>
      <c r="K11" s="7">
        <f t="shared" si="3"/>
        <v>872.8826</v>
      </c>
      <c r="L11" s="8"/>
      <c r="N11" s="2"/>
    </row>
    <row r="12" ht="14.25" spans="1:14">
      <c r="A12" s="2">
        <v>8</v>
      </c>
      <c r="B12" s="3">
        <v>1.8129114809</v>
      </c>
      <c r="C12" s="3">
        <v>65.310122254</v>
      </c>
      <c r="D12" s="3">
        <v>0.33040736</v>
      </c>
      <c r="E12" s="3">
        <v>5.985802746</v>
      </c>
      <c r="F12" s="3">
        <v>87.28855</v>
      </c>
      <c r="G12" s="4">
        <v>1.3</v>
      </c>
      <c r="H12">
        <f t="shared" si="0"/>
        <v>2.35678492517</v>
      </c>
      <c r="I12">
        <f t="shared" si="1"/>
        <v>84.9031589302</v>
      </c>
      <c r="J12">
        <f t="shared" si="2"/>
        <v>33.040736</v>
      </c>
      <c r="K12" s="7">
        <f t="shared" si="3"/>
        <v>872.8855</v>
      </c>
      <c r="L12" s="8"/>
      <c r="N12" s="2"/>
    </row>
    <row r="13" ht="14.25" spans="1:14">
      <c r="A13" s="2">
        <v>9</v>
      </c>
      <c r="B13" s="3">
        <v>1.840409142</v>
      </c>
      <c r="C13" s="3">
        <v>65.351648323</v>
      </c>
      <c r="D13" s="3">
        <v>0.33039367</v>
      </c>
      <c r="E13" s="3">
        <v>6.415222611</v>
      </c>
      <c r="F13" s="3">
        <v>87.28885</v>
      </c>
      <c r="G13" s="4">
        <v>1.3</v>
      </c>
      <c r="H13">
        <f t="shared" si="0"/>
        <v>2.3925318846</v>
      </c>
      <c r="I13">
        <f t="shared" si="1"/>
        <v>84.9571428199</v>
      </c>
      <c r="J13">
        <f t="shared" si="2"/>
        <v>33.039367</v>
      </c>
      <c r="K13" s="7">
        <f t="shared" si="3"/>
        <v>872.8885</v>
      </c>
      <c r="L13" s="8"/>
      <c r="N13" s="2"/>
    </row>
    <row r="14" ht="14.25" spans="1:14">
      <c r="A14" s="2">
        <v>10</v>
      </c>
      <c r="B14" s="3">
        <v>1.8671730844</v>
      </c>
      <c r="C14" s="3">
        <v>65.435862011</v>
      </c>
      <c r="D14" s="3">
        <v>0.33039101</v>
      </c>
      <c r="E14" s="3">
        <v>6.819840064</v>
      </c>
      <c r="F14" s="3">
        <v>87.28913</v>
      </c>
      <c r="G14" s="4">
        <v>1.3</v>
      </c>
      <c r="H14">
        <f t="shared" si="0"/>
        <v>2.42732500972</v>
      </c>
      <c r="I14">
        <f t="shared" si="1"/>
        <v>85.0666206143</v>
      </c>
      <c r="J14">
        <f t="shared" si="2"/>
        <v>33.039101</v>
      </c>
      <c r="K14" s="7">
        <f t="shared" si="3"/>
        <v>872.8913</v>
      </c>
      <c r="L14" s="8"/>
      <c r="N14" s="2"/>
    </row>
    <row r="15" ht="14.25" spans="1:14">
      <c r="A15" s="2">
        <v>12</v>
      </c>
      <c r="B15" s="3">
        <v>1.9197991085</v>
      </c>
      <c r="C15" s="3">
        <v>65.724051354</v>
      </c>
      <c r="D15" s="3">
        <v>0.330419121</v>
      </c>
      <c r="E15" s="3">
        <v>7.554668063</v>
      </c>
      <c r="F15" s="3">
        <v>87.28964</v>
      </c>
      <c r="G15" s="4">
        <v>1.3</v>
      </c>
      <c r="H15">
        <f t="shared" si="0"/>
        <v>2.49573884105</v>
      </c>
      <c r="I15">
        <f t="shared" si="1"/>
        <v>85.4412667602</v>
      </c>
      <c r="J15">
        <f t="shared" si="2"/>
        <v>33.0419121</v>
      </c>
      <c r="K15" s="7">
        <f t="shared" si="3"/>
        <v>872.8964</v>
      </c>
      <c r="L15" s="8"/>
      <c r="N15" s="2"/>
    </row>
    <row r="16" ht="14.25" spans="1:14">
      <c r="A16" s="2">
        <v>14</v>
      </c>
      <c r="B16" s="3">
        <v>1.9710320903</v>
      </c>
      <c r="C16" s="3">
        <v>66.141152103</v>
      </c>
      <c r="D16" s="3">
        <v>0.330491418</v>
      </c>
      <c r="E16" s="3">
        <v>8.191936829</v>
      </c>
      <c r="F16" s="3">
        <v>87.29006</v>
      </c>
      <c r="G16" s="4">
        <v>1.3</v>
      </c>
      <c r="H16">
        <f t="shared" si="0"/>
        <v>2.56234171739</v>
      </c>
      <c r="I16">
        <f t="shared" si="1"/>
        <v>85.9834977339</v>
      </c>
      <c r="J16">
        <f t="shared" si="2"/>
        <v>33.0491418</v>
      </c>
      <c r="K16" s="7">
        <f t="shared" si="3"/>
        <v>872.9006</v>
      </c>
      <c r="L16" s="8"/>
      <c r="N16" s="2"/>
    </row>
    <row r="17" ht="14.25" spans="1:14">
      <c r="A17" s="2">
        <v>16</v>
      </c>
      <c r="B17" s="3">
        <v>2.0226399687</v>
      </c>
      <c r="C17" s="3">
        <v>66.65888242</v>
      </c>
      <c r="D17" s="3">
        <v>0.330606654</v>
      </c>
      <c r="E17" s="3">
        <v>8.735164293</v>
      </c>
      <c r="F17" s="3">
        <v>87.29039</v>
      </c>
      <c r="G17" s="4">
        <v>1.3</v>
      </c>
      <c r="H17">
        <f t="shared" si="0"/>
        <v>2.62943195931</v>
      </c>
      <c r="I17">
        <f t="shared" si="1"/>
        <v>86.656547146</v>
      </c>
      <c r="J17">
        <f t="shared" si="2"/>
        <v>33.0606654</v>
      </c>
      <c r="K17" s="7">
        <f t="shared" si="3"/>
        <v>872.9039</v>
      </c>
      <c r="L17" s="8"/>
      <c r="N17" s="2"/>
    </row>
    <row r="18" ht="14.25" spans="1:14">
      <c r="A18" s="2">
        <v>18</v>
      </c>
      <c r="B18" s="3">
        <v>2.0763354716</v>
      </c>
      <c r="C18" s="3">
        <v>67.253548804</v>
      </c>
      <c r="D18" s="3">
        <v>0.330762715</v>
      </c>
      <c r="E18" s="3">
        <v>9.189340409</v>
      </c>
      <c r="F18" s="3">
        <v>87.29065</v>
      </c>
      <c r="G18" s="4">
        <v>1.3</v>
      </c>
      <c r="H18">
        <f t="shared" si="0"/>
        <v>2.69923611308</v>
      </c>
      <c r="I18">
        <f t="shared" si="1"/>
        <v>87.4296134452</v>
      </c>
      <c r="J18">
        <f t="shared" si="2"/>
        <v>33.0762715</v>
      </c>
      <c r="K18" s="7">
        <f t="shared" si="3"/>
        <v>872.9065</v>
      </c>
      <c r="L18" s="8"/>
      <c r="N18" s="2"/>
    </row>
    <row r="19" ht="14.25" spans="1:14">
      <c r="A19" s="2">
        <v>20</v>
      </c>
      <c r="B19" s="3">
        <v>2.1338606445</v>
      </c>
      <c r="C19" s="3">
        <v>67.905087224</v>
      </c>
      <c r="D19" s="3">
        <v>0.330956774</v>
      </c>
      <c r="E19" s="3">
        <v>9.560590623</v>
      </c>
      <c r="F19" s="3">
        <v>87.29084</v>
      </c>
      <c r="G19" s="4">
        <v>1.3</v>
      </c>
      <c r="H19">
        <f t="shared" si="0"/>
        <v>2.77401883785</v>
      </c>
      <c r="I19">
        <f t="shared" si="1"/>
        <v>88.2766133912</v>
      </c>
      <c r="J19">
        <f t="shared" si="2"/>
        <v>33.0956774</v>
      </c>
      <c r="K19" s="7">
        <f t="shared" si="3"/>
        <v>872.9084</v>
      </c>
      <c r="L19" s="8"/>
      <c r="N19" s="2"/>
    </row>
    <row r="20" ht="14.25" spans="1:14">
      <c r="A20" s="2">
        <v>22</v>
      </c>
      <c r="B20" s="3">
        <v>2.19717939992718</v>
      </c>
      <c r="C20" s="3">
        <v>68.5965148127316</v>
      </c>
      <c r="D20" s="3">
        <v>0.331185454</v>
      </c>
      <c r="E20" s="3">
        <v>9.855862317</v>
      </c>
      <c r="F20" s="3">
        <v>87.29096</v>
      </c>
      <c r="G20" s="4">
        <v>1.29958</v>
      </c>
      <c r="H20">
        <f t="shared" si="0"/>
        <v>2.85541040455736</v>
      </c>
      <c r="I20">
        <f t="shared" si="1"/>
        <v>89.1466587203297</v>
      </c>
      <c r="J20">
        <f t="shared" si="2"/>
        <v>33.1185454</v>
      </c>
      <c r="K20" s="7">
        <f t="shared" si="3"/>
        <v>872.9096</v>
      </c>
      <c r="L20" s="8"/>
      <c r="N20" s="2"/>
    </row>
    <row r="21" ht="14.25" spans="1:14">
      <c r="A21" s="2">
        <v>24</v>
      </c>
      <c r="B21" s="3">
        <v>2.26864286499136</v>
      </c>
      <c r="C21" s="3">
        <v>69.3127671920684</v>
      </c>
      <c r="D21" s="3">
        <v>0.331444996</v>
      </c>
      <c r="E21" s="3">
        <v>10.08263208</v>
      </c>
      <c r="F21" s="3">
        <v>87.29102</v>
      </c>
      <c r="G21" s="4">
        <v>1.29844</v>
      </c>
      <c r="H21">
        <f t="shared" si="0"/>
        <v>2.94569664161938</v>
      </c>
      <c r="I21">
        <f t="shared" si="1"/>
        <v>89.9984694328693</v>
      </c>
      <c r="J21">
        <f t="shared" si="2"/>
        <v>33.1444996</v>
      </c>
      <c r="K21" s="7">
        <f t="shared" si="3"/>
        <v>872.9102</v>
      </c>
      <c r="L21" s="8"/>
      <c r="N21" s="2"/>
    </row>
    <row r="22" ht="14.25" spans="1:14">
      <c r="A22" s="2">
        <v>26</v>
      </c>
      <c r="B22" s="3">
        <v>2.35120898121524</v>
      </c>
      <c r="C22" s="3">
        <v>70.0394535911408</v>
      </c>
      <c r="D22" s="3">
        <v>0.33173141</v>
      </c>
      <c r="E22" s="3">
        <v>10.24863768</v>
      </c>
      <c r="F22" s="3">
        <v>87.29105</v>
      </c>
      <c r="G22" s="4">
        <v>1.29676</v>
      </c>
      <c r="H22">
        <f t="shared" si="0"/>
        <v>3.04895375848067</v>
      </c>
      <c r="I22">
        <f t="shared" si="1"/>
        <v>90.8243618388477</v>
      </c>
      <c r="J22">
        <f t="shared" si="2"/>
        <v>33.173141</v>
      </c>
      <c r="K22" s="7">
        <f t="shared" si="3"/>
        <v>872.9105</v>
      </c>
      <c r="L22" s="8"/>
      <c r="N22" s="2"/>
    </row>
    <row r="23" ht="14.25" spans="1:14">
      <c r="A23" s="2">
        <v>28</v>
      </c>
      <c r="B23" s="3">
        <v>2.44873543912704</v>
      </c>
      <c r="C23" s="3">
        <v>70.7636814452736</v>
      </c>
      <c r="D23" s="3">
        <v>0.332040625</v>
      </c>
      <c r="E23" s="3">
        <v>10.36164011</v>
      </c>
      <c r="F23" s="3">
        <v>87.29105</v>
      </c>
      <c r="G23" s="4">
        <v>1.29472</v>
      </c>
      <c r="H23">
        <f t="shared" si="0"/>
        <v>3.17042674774656</v>
      </c>
      <c r="I23">
        <f t="shared" si="1"/>
        <v>91.6191536408246</v>
      </c>
      <c r="J23">
        <f t="shared" si="2"/>
        <v>33.2040625</v>
      </c>
      <c r="K23" s="7">
        <f t="shared" si="3"/>
        <v>872.9105</v>
      </c>
      <c r="L23" s="8"/>
      <c r="N23" s="2"/>
    </row>
    <row r="24" ht="14.25" spans="1:14">
      <c r="A24" s="2">
        <v>30</v>
      </c>
      <c r="B24" s="3">
        <v>2.566278186615</v>
      </c>
      <c r="C24" s="3">
        <v>71.4747524392</v>
      </c>
      <c r="D24" s="3">
        <v>0.332368608</v>
      </c>
      <c r="E24" s="3">
        <v>10.42922003</v>
      </c>
      <c r="F24" s="3">
        <v>87.29104</v>
      </c>
      <c r="G24" s="4">
        <v>1.2925</v>
      </c>
      <c r="H24">
        <f t="shared" si="0"/>
        <v>3.31691455619989</v>
      </c>
      <c r="I24">
        <f t="shared" si="1"/>
        <v>92.381117527666</v>
      </c>
      <c r="J24">
        <f t="shared" si="2"/>
        <v>33.2368608</v>
      </c>
      <c r="K24" s="7">
        <f t="shared" si="3"/>
        <v>872.9104</v>
      </c>
      <c r="L24" s="8"/>
      <c r="N24" s="2"/>
    </row>
    <row r="25" ht="14.25" spans="1:14">
      <c r="A25" s="6">
        <v>32.5</v>
      </c>
      <c r="B25" s="3">
        <v>2.75317611219228</v>
      </c>
      <c r="C25" s="3">
        <v>72.3357558874102</v>
      </c>
      <c r="D25" s="3">
        <v>0.332799544</v>
      </c>
      <c r="E25" s="3">
        <v>10.46001182</v>
      </c>
      <c r="F25" s="3">
        <v>87.29104</v>
      </c>
      <c r="G25" s="4">
        <v>1.28974609375</v>
      </c>
      <c r="H25">
        <f t="shared" si="0"/>
        <v>3.55089813610581</v>
      </c>
      <c r="I25">
        <f t="shared" si="1"/>
        <v>93.2947585942408</v>
      </c>
      <c r="J25">
        <f t="shared" si="2"/>
        <v>33.2799544</v>
      </c>
      <c r="K25" s="7">
        <f t="shared" si="3"/>
        <v>872.9104</v>
      </c>
      <c r="L25" s="8"/>
      <c r="N25" s="2"/>
    </row>
    <row r="26" ht="14.25" spans="1:14">
      <c r="A26" s="2">
        <v>35</v>
      </c>
      <c r="B26" s="3">
        <v>3.00155292215625</v>
      </c>
      <c r="C26" s="3">
        <v>73.1486855106219</v>
      </c>
      <c r="D26" s="3">
        <v>0.333246654</v>
      </c>
      <c r="E26" s="3">
        <v>10.44421111</v>
      </c>
      <c r="F26" s="3">
        <v>87.29104</v>
      </c>
      <c r="G26" s="4">
        <v>1.28734375</v>
      </c>
      <c r="H26">
        <f t="shared" si="0"/>
        <v>3.86403039463208</v>
      </c>
      <c r="I26">
        <f t="shared" si="1"/>
        <v>94.1675031128146</v>
      </c>
      <c r="J26">
        <f t="shared" si="2"/>
        <v>33.3246654</v>
      </c>
      <c r="K26" s="7">
        <f t="shared" si="3"/>
        <v>872.9104</v>
      </c>
      <c r="L26" s="8"/>
      <c r="N26" s="2"/>
    </row>
    <row r="27" ht="14.25" spans="1:14">
      <c r="A27" s="6">
        <v>37.5</v>
      </c>
      <c r="B27" s="3">
        <v>3.3416153867832</v>
      </c>
      <c r="C27" s="3">
        <v>73.903636772124</v>
      </c>
      <c r="D27" s="3">
        <v>0.33370362</v>
      </c>
      <c r="E27" s="3">
        <v>10.39346144</v>
      </c>
      <c r="F27" s="3">
        <v>87.29108</v>
      </c>
      <c r="G27" s="4">
        <v>1.28564453125</v>
      </c>
      <c r="H27">
        <f t="shared" si="0"/>
        <v>4.29612954755868</v>
      </c>
      <c r="I27">
        <f t="shared" si="1"/>
        <v>95.0138064555676</v>
      </c>
      <c r="J27">
        <f t="shared" si="2"/>
        <v>33.370362</v>
      </c>
      <c r="K27" s="7">
        <f t="shared" si="3"/>
        <v>872.9108</v>
      </c>
      <c r="L27" s="8"/>
      <c r="N27" s="2"/>
    </row>
    <row r="28" ht="14.25" spans="1:14">
      <c r="A28" s="2">
        <v>40</v>
      </c>
      <c r="B28" s="3">
        <v>3.828278053635</v>
      </c>
      <c r="C28" s="3">
        <v>74.5912693397</v>
      </c>
      <c r="D28" s="3">
        <v>0.334164978</v>
      </c>
      <c r="E28" s="3">
        <v>10.31783342</v>
      </c>
      <c r="F28" s="3">
        <v>87.29114</v>
      </c>
      <c r="G28" s="4">
        <v>1.285</v>
      </c>
      <c r="H28">
        <f t="shared" si="0"/>
        <v>4.91933729892097</v>
      </c>
      <c r="I28">
        <f t="shared" si="1"/>
        <v>95.8497811015145</v>
      </c>
      <c r="J28">
        <f t="shared" si="2"/>
        <v>33.4164978</v>
      </c>
      <c r="K28" s="7">
        <f t="shared" si="3"/>
        <v>872.9114</v>
      </c>
      <c r="L28" s="8"/>
      <c r="N28" s="2"/>
    </row>
    <row r="29" ht="14.25" spans="1:14">
      <c r="A29" s="2">
        <v>45</v>
      </c>
      <c r="B29" s="3">
        <v>5.06423900142563</v>
      </c>
      <c r="C29" s="3">
        <v>66.6121071006563</v>
      </c>
      <c r="D29" s="3">
        <v>0.293185639</v>
      </c>
      <c r="E29" s="3">
        <v>10.12186341</v>
      </c>
      <c r="F29" s="3">
        <v>87.2913</v>
      </c>
      <c r="G29" s="4">
        <v>1.30921875</v>
      </c>
      <c r="H29">
        <f t="shared" si="0"/>
        <v>6.63019665514771</v>
      </c>
      <c r="I29">
        <f t="shared" si="1"/>
        <v>87.2098195931873</v>
      </c>
      <c r="J29">
        <f t="shared" si="2"/>
        <v>29.3185639</v>
      </c>
      <c r="K29" s="7">
        <f t="shared" si="3"/>
        <v>872.913</v>
      </c>
      <c r="L29" s="8"/>
      <c r="N29" s="2"/>
    </row>
    <row r="30" ht="14.25" spans="1:14">
      <c r="A30" s="2">
        <v>50</v>
      </c>
      <c r="B30" s="3">
        <v>5.636715247825</v>
      </c>
      <c r="C30" s="3">
        <v>67.659392861375</v>
      </c>
      <c r="D30" s="3">
        <v>0.294262276</v>
      </c>
      <c r="E30" s="3">
        <v>9.910347757</v>
      </c>
      <c r="F30" s="3">
        <v>87.2916</v>
      </c>
      <c r="G30" s="4">
        <v>1.3625</v>
      </c>
      <c r="H30">
        <f t="shared" si="0"/>
        <v>7.68002452516156</v>
      </c>
      <c r="I30">
        <f t="shared" si="1"/>
        <v>92.1859227736234</v>
      </c>
      <c r="J30">
        <f t="shared" si="2"/>
        <v>29.4262276</v>
      </c>
      <c r="K30" s="7">
        <f t="shared" si="3"/>
        <v>872.916</v>
      </c>
      <c r="L30" s="8"/>
      <c r="N30" s="2"/>
    </row>
    <row r="31" ht="14.25" spans="1:14">
      <c r="A31" s="2">
        <v>55</v>
      </c>
      <c r="B31" s="3">
        <v>5.71373089311984</v>
      </c>
      <c r="C31" s="3">
        <v>68.3487650938828</v>
      </c>
      <c r="D31" s="3">
        <v>0.295154991</v>
      </c>
      <c r="E31" s="3">
        <v>9.709765827</v>
      </c>
      <c r="F31" s="3">
        <v>87.29205</v>
      </c>
      <c r="G31" s="4">
        <v>1.41578125</v>
      </c>
      <c r="H31">
        <f t="shared" si="0"/>
        <v>8.08939306602483</v>
      </c>
      <c r="I31">
        <f t="shared" si="1"/>
        <v>96.7669000805738</v>
      </c>
      <c r="J31">
        <f t="shared" si="2"/>
        <v>29.5154991</v>
      </c>
      <c r="K31" s="7">
        <f t="shared" si="3"/>
        <v>872.9205</v>
      </c>
      <c r="L31" s="8"/>
      <c r="N31" s="2"/>
    </row>
    <row r="32" ht="14.25" spans="1:14">
      <c r="A32" s="2">
        <v>60</v>
      </c>
      <c r="B32" s="3">
        <v>5.47753926384</v>
      </c>
      <c r="C32" s="3">
        <v>68.7454868016</v>
      </c>
      <c r="D32" s="3">
        <v>0.295898459</v>
      </c>
      <c r="E32" s="3">
        <v>9.533353954</v>
      </c>
      <c r="F32" s="3">
        <v>87.2926</v>
      </c>
      <c r="G32" s="4">
        <v>1.44</v>
      </c>
      <c r="H32">
        <f t="shared" si="0"/>
        <v>7.8876565399296</v>
      </c>
      <c r="I32">
        <f t="shared" si="1"/>
        <v>98.993500994304</v>
      </c>
      <c r="J32">
        <f t="shared" si="2"/>
        <v>29.5898459</v>
      </c>
      <c r="K32" s="7">
        <f t="shared" si="3"/>
        <v>872.926</v>
      </c>
      <c r="L32" s="8"/>
      <c r="N32" s="2"/>
    </row>
    <row r="33" ht="14.25" spans="1:14">
      <c r="A33" s="2">
        <v>65</v>
      </c>
      <c r="B33" s="3">
        <v>5.09394297606031</v>
      </c>
      <c r="C33" s="3">
        <v>68.9125219104375</v>
      </c>
      <c r="D33" s="3">
        <v>0.296530298</v>
      </c>
      <c r="E33" s="3">
        <v>9.38579512</v>
      </c>
      <c r="F33" s="3">
        <v>87.29321</v>
      </c>
      <c r="G33" s="4">
        <v>1.40796875</v>
      </c>
      <c r="H33">
        <f t="shared" si="0"/>
        <v>7.17211252457492</v>
      </c>
      <c r="I33">
        <f t="shared" si="1"/>
        <v>97.0266773335863</v>
      </c>
      <c r="J33">
        <f t="shared" si="2"/>
        <v>29.6530298</v>
      </c>
      <c r="K33" s="7">
        <f t="shared" si="3"/>
        <v>872.9321</v>
      </c>
      <c r="L33" s="8"/>
      <c r="N33" s="2"/>
    </row>
    <row r="34" ht="14.25" spans="1:14">
      <c r="A34" s="2">
        <v>70</v>
      </c>
      <c r="B34" s="3">
        <v>4.693689004125</v>
      </c>
      <c r="C34" s="3">
        <v>68.925453412</v>
      </c>
      <c r="D34" s="3">
        <v>0.297082226</v>
      </c>
      <c r="E34" s="3">
        <v>9.266889979</v>
      </c>
      <c r="F34" s="3">
        <v>87.29385</v>
      </c>
      <c r="G34" s="4">
        <v>1.3375</v>
      </c>
      <c r="H34">
        <f t="shared" si="0"/>
        <v>6.27780904301719</v>
      </c>
      <c r="I34">
        <f t="shared" si="1"/>
        <v>92.18779393855</v>
      </c>
      <c r="J34">
        <f t="shared" si="2"/>
        <v>29.7082226</v>
      </c>
      <c r="K34" s="7">
        <f t="shared" si="3"/>
        <v>872.9385</v>
      </c>
      <c r="L34" s="8"/>
      <c r="N34" s="2"/>
    </row>
    <row r="35" ht="14.25" spans="1:14">
      <c r="A35" s="2">
        <v>75</v>
      </c>
      <c r="B35" s="3">
        <v>4.36444256163797</v>
      </c>
      <c r="C35" s="3">
        <v>68.8515594221391</v>
      </c>
      <c r="D35" s="3">
        <v>0.297577982</v>
      </c>
      <c r="E35" s="3">
        <v>9.174101165</v>
      </c>
      <c r="F35" s="3">
        <v>87.2945</v>
      </c>
      <c r="G35" s="4">
        <v>1.26703125</v>
      </c>
      <c r="H35">
        <f t="shared" si="0"/>
        <v>5.52988511442536</v>
      </c>
      <c r="I35">
        <f t="shared" si="1"/>
        <v>87.2370773990821</v>
      </c>
      <c r="J35">
        <f t="shared" si="2"/>
        <v>29.7577982</v>
      </c>
      <c r="K35" s="7">
        <f t="shared" si="3"/>
        <v>872.945</v>
      </c>
      <c r="L35" s="8"/>
      <c r="N35" s="2"/>
    </row>
    <row r="36" ht="14.25" spans="1:14">
      <c r="A36" s="2">
        <v>80</v>
      </c>
      <c r="B36" s="3">
        <v>4.157413848705</v>
      </c>
      <c r="C36" s="3">
        <v>68.71737532075</v>
      </c>
      <c r="D36" s="3">
        <v>0.298034457</v>
      </c>
      <c r="E36" s="3">
        <v>9.104152171</v>
      </c>
      <c r="F36" s="3">
        <v>87.29516</v>
      </c>
      <c r="G36" s="4">
        <v>1.235</v>
      </c>
      <c r="H36">
        <f t="shared" si="0"/>
        <v>5.13440610315068</v>
      </c>
      <c r="I36">
        <f t="shared" si="1"/>
        <v>84.8659585211263</v>
      </c>
      <c r="J36">
        <f t="shared" si="2"/>
        <v>29.8034457</v>
      </c>
      <c r="K36" s="7">
        <f t="shared" si="3"/>
        <v>872.9516</v>
      </c>
      <c r="N36" s="2"/>
    </row>
    <row r="37" ht="14.25" spans="1:14">
      <c r="A37" s="2">
        <v>85</v>
      </c>
      <c r="B37" s="3">
        <v>3.728937385515</v>
      </c>
      <c r="C37" s="3">
        <v>54.4810709596234</v>
      </c>
      <c r="D37" s="3">
        <v>0.238387967</v>
      </c>
      <c r="E37" s="3">
        <v>9.035911412</v>
      </c>
      <c r="F37" s="3">
        <v>87.29587</v>
      </c>
      <c r="G37" s="4">
        <v>1.24203125</v>
      </c>
      <c r="H37">
        <f t="shared" si="0"/>
        <v>4.63145676210293</v>
      </c>
      <c r="I37">
        <f t="shared" si="1"/>
        <v>67.6671926653198</v>
      </c>
      <c r="J37">
        <f t="shared" si="2"/>
        <v>23.8387967</v>
      </c>
      <c r="K37" s="7">
        <f t="shared" si="3"/>
        <v>872.9587</v>
      </c>
      <c r="N37" s="2"/>
    </row>
    <row r="38" ht="14.25" spans="1:14">
      <c r="A38" s="2">
        <v>90</v>
      </c>
      <c r="B38" s="3">
        <v>3.4073178691125</v>
      </c>
      <c r="C38" s="3">
        <v>53.76074163115</v>
      </c>
      <c r="D38" s="3">
        <v>0.237516493</v>
      </c>
      <c r="E38" s="3">
        <v>8.985460798</v>
      </c>
      <c r="F38" s="3">
        <v>87.29684</v>
      </c>
      <c r="G38" s="4">
        <v>1.2575</v>
      </c>
      <c r="H38">
        <f t="shared" si="0"/>
        <v>4.28470222040897</v>
      </c>
      <c r="I38">
        <f t="shared" si="1"/>
        <v>67.6041326011711</v>
      </c>
      <c r="J38">
        <f t="shared" si="2"/>
        <v>23.7516493</v>
      </c>
      <c r="K38" s="7">
        <f t="shared" si="3"/>
        <v>872.9684</v>
      </c>
      <c r="N38" s="2"/>
    </row>
    <row r="39" ht="14.25" spans="1:14">
      <c r="A39" s="2">
        <v>95</v>
      </c>
      <c r="B39" s="3">
        <v>3.21853632686344</v>
      </c>
      <c r="C39" s="3">
        <v>53.0406384540734</v>
      </c>
      <c r="D39" s="3">
        <v>0.23656904</v>
      </c>
      <c r="E39" s="3">
        <v>8.949602156</v>
      </c>
      <c r="F39" s="3">
        <v>87.29802</v>
      </c>
      <c r="G39" s="4">
        <v>1.27296875</v>
      </c>
      <c r="H39">
        <f t="shared" si="0"/>
        <v>4.09709616483694</v>
      </c>
      <c r="I39">
        <f t="shared" si="1"/>
        <v>67.5190752320838</v>
      </c>
      <c r="J39">
        <f t="shared" si="2"/>
        <v>23.656904</v>
      </c>
      <c r="K39" s="7">
        <f t="shared" si="3"/>
        <v>872.9802</v>
      </c>
      <c r="N39" s="2"/>
    </row>
    <row r="40" ht="14.25" spans="1:14">
      <c r="A40" s="2">
        <v>100</v>
      </c>
      <c r="B40" s="3">
        <v>3.12561932672</v>
      </c>
      <c r="C40" s="3">
        <v>52.3724361984</v>
      </c>
      <c r="D40" s="3">
        <v>0.235588171</v>
      </c>
      <c r="E40" s="3">
        <v>8.92587254</v>
      </c>
      <c r="F40" s="3">
        <v>87.29937</v>
      </c>
      <c r="G40" s="4">
        <v>1.28</v>
      </c>
      <c r="H40">
        <f t="shared" si="0"/>
        <v>4.0007927382016</v>
      </c>
      <c r="I40">
        <f t="shared" si="1"/>
        <v>67.036718333952</v>
      </c>
      <c r="J40">
        <f t="shared" si="2"/>
        <v>23.5588171</v>
      </c>
      <c r="K40" s="7">
        <f t="shared" si="3"/>
        <v>872.9937</v>
      </c>
      <c r="N40" s="2"/>
    </row>
    <row r="41" ht="14.25" spans="1:14">
      <c r="A41" s="2">
        <v>110</v>
      </c>
      <c r="B41" s="3">
        <v>3.08361808308263</v>
      </c>
      <c r="C41" s="3">
        <v>51.273787681971</v>
      </c>
      <c r="D41" s="3">
        <v>0.233634946</v>
      </c>
      <c r="E41" s="3">
        <v>8.909024698</v>
      </c>
      <c r="F41" s="3">
        <v>87.30249</v>
      </c>
      <c r="G41" s="4">
        <v>1.27394736842105</v>
      </c>
      <c r="H41">
        <f t="shared" si="0"/>
        <v>3.92836714215867</v>
      </c>
      <c r="I41">
        <f t="shared" si="1"/>
        <v>65.3201068864265</v>
      </c>
      <c r="J41">
        <f t="shared" si="2"/>
        <v>23.3634946</v>
      </c>
      <c r="K41" s="7">
        <f t="shared" si="3"/>
        <v>873.0249</v>
      </c>
      <c r="N41" s="2"/>
    </row>
    <row r="42" ht="14.25" spans="1:14">
      <c r="A42" s="2">
        <v>120</v>
      </c>
      <c r="B42" s="3">
        <v>3.0797198397</v>
      </c>
      <c r="C42" s="3">
        <v>50.7872926764</v>
      </c>
      <c r="D42" s="3">
        <v>0.231956267</v>
      </c>
      <c r="E42" s="3">
        <v>8.92336492</v>
      </c>
      <c r="F42" s="3">
        <v>87.30596</v>
      </c>
      <c r="G42" s="4">
        <v>1.26</v>
      </c>
      <c r="H42">
        <f t="shared" si="0"/>
        <v>3.880446998022</v>
      </c>
      <c r="I42">
        <f t="shared" si="1"/>
        <v>63.991988772264</v>
      </c>
      <c r="J42">
        <f t="shared" si="2"/>
        <v>23.1956267</v>
      </c>
      <c r="K42" s="7">
        <f t="shared" si="3"/>
        <v>873.0596</v>
      </c>
      <c r="N42" s="2"/>
    </row>
    <row r="43" ht="14.25" spans="1:14">
      <c r="A43" s="2">
        <v>130</v>
      </c>
      <c r="B43" s="3">
        <v>3.08235757361919</v>
      </c>
      <c r="C43" s="3">
        <v>51.0575066926931</v>
      </c>
      <c r="D43" s="3">
        <v>0.230688602</v>
      </c>
      <c r="E43" s="3">
        <v>8.962627829</v>
      </c>
      <c r="F43" s="3">
        <v>87.30963</v>
      </c>
      <c r="G43" s="4">
        <v>1.21855263157894</v>
      </c>
      <c r="H43">
        <f t="shared" si="0"/>
        <v>3.75601493280094</v>
      </c>
      <c r="I43">
        <f t="shared" si="1"/>
        <v>62.2162591422405</v>
      </c>
      <c r="J43">
        <f t="shared" si="2"/>
        <v>23.0688602</v>
      </c>
      <c r="K43" s="7">
        <f t="shared" si="3"/>
        <v>873.0963</v>
      </c>
      <c r="N43" s="2"/>
    </row>
    <row r="44" ht="14.25" spans="1:14">
      <c r="A44" s="2">
        <v>140</v>
      </c>
      <c r="B44" s="3">
        <v>3.08800374816</v>
      </c>
      <c r="C44" s="3">
        <v>52.22099995215</v>
      </c>
      <c r="D44" s="3">
        <v>0.22984188</v>
      </c>
      <c r="E44" s="3">
        <v>9.022414306</v>
      </c>
      <c r="F44" s="3">
        <v>87.31341</v>
      </c>
      <c r="G44" s="4">
        <v>1.185</v>
      </c>
      <c r="H44">
        <f t="shared" si="0"/>
        <v>3.6592844415696</v>
      </c>
      <c r="I44">
        <f t="shared" si="1"/>
        <v>61.8818849432978</v>
      </c>
      <c r="J44">
        <f t="shared" si="2"/>
        <v>22.984188</v>
      </c>
      <c r="K44" s="7">
        <f t="shared" si="3"/>
        <v>873.1341</v>
      </c>
      <c r="N44" s="2"/>
    </row>
    <row r="45" ht="14.25" spans="1:14">
      <c r="A45" s="2">
        <v>150</v>
      </c>
      <c r="B45" s="3">
        <v>3.0965333679525</v>
      </c>
      <c r="C45" s="3">
        <v>54.3817193248</v>
      </c>
      <c r="D45" s="3">
        <v>0.229344978</v>
      </c>
      <c r="E45" s="3">
        <v>9.099372971</v>
      </c>
      <c r="F45" s="3">
        <v>87.31725</v>
      </c>
      <c r="G45" s="4">
        <v>1.2425</v>
      </c>
      <c r="H45">
        <f t="shared" si="0"/>
        <v>3.84744270968098</v>
      </c>
      <c r="I45">
        <f t="shared" si="1"/>
        <v>67.569286261064</v>
      </c>
      <c r="J45">
        <f t="shared" si="2"/>
        <v>22.9344978</v>
      </c>
      <c r="K45" s="7">
        <f t="shared" si="3"/>
        <v>873.1725</v>
      </c>
      <c r="N45" s="2"/>
    </row>
    <row r="46" ht="14.25" spans="1:14">
      <c r="A46" s="2">
        <v>160</v>
      </c>
      <c r="B46" s="3">
        <v>3.1084425086</v>
      </c>
      <c r="C46" s="3">
        <v>57.625329099</v>
      </c>
      <c r="D46" s="3">
        <v>0.229096341</v>
      </c>
      <c r="E46" s="3">
        <v>9.190802148</v>
      </c>
      <c r="F46" s="3">
        <v>87.32114</v>
      </c>
      <c r="G46" s="4">
        <v>1.3</v>
      </c>
      <c r="H46">
        <f t="shared" si="0"/>
        <v>4.04097526118</v>
      </c>
      <c r="I46">
        <f t="shared" si="1"/>
        <v>74.9129278287</v>
      </c>
      <c r="J46">
        <f t="shared" si="2"/>
        <v>22.9096341</v>
      </c>
      <c r="K46" s="7">
        <f t="shared" si="3"/>
        <v>873.2114</v>
      </c>
      <c r="N46" s="2"/>
    </row>
    <row r="47" ht="14.25" spans="1:14">
      <c r="A47" s="2">
        <v>170</v>
      </c>
      <c r="B47" s="3">
        <v>3.130243633785</v>
      </c>
      <c r="C47" s="3">
        <v>62.036681574225</v>
      </c>
      <c r="D47" s="3">
        <v>0.229010478</v>
      </c>
      <c r="E47" s="3">
        <v>9.294444861</v>
      </c>
      <c r="F47" s="3">
        <v>87.32506</v>
      </c>
      <c r="G47" s="4">
        <v>1.2525</v>
      </c>
      <c r="H47">
        <f t="shared" si="0"/>
        <v>3.92063015131571</v>
      </c>
      <c r="I47">
        <f t="shared" si="1"/>
        <v>77.7009436717168</v>
      </c>
      <c r="J47">
        <f t="shared" si="2"/>
        <v>22.9010478</v>
      </c>
      <c r="K47" s="7">
        <f t="shared" si="3"/>
        <v>873.2506</v>
      </c>
      <c r="N47" s="2"/>
    </row>
    <row r="48" ht="14.25" spans="1:14">
      <c r="A48" s="2">
        <v>180</v>
      </c>
      <c r="B48" s="3">
        <v>3.197217993905</v>
      </c>
      <c r="C48" s="3">
        <v>67.7142557355</v>
      </c>
      <c r="D48" s="3">
        <v>0.229020825</v>
      </c>
      <c r="E48" s="3">
        <v>9.408407789</v>
      </c>
      <c r="F48" s="3">
        <v>87.32906</v>
      </c>
      <c r="G48" s="4">
        <v>1.205</v>
      </c>
      <c r="H48">
        <f t="shared" si="0"/>
        <v>3.85264768265553</v>
      </c>
      <c r="I48">
        <f t="shared" si="1"/>
        <v>81.5956781612775</v>
      </c>
      <c r="J48">
        <f t="shared" si="2"/>
        <v>22.9020825</v>
      </c>
      <c r="K48" s="7">
        <f t="shared" si="3"/>
        <v>873.2906</v>
      </c>
      <c r="N48" s="2"/>
    </row>
    <row r="49" ht="14.25" spans="1:14">
      <c r="A49" s="2">
        <v>190</v>
      </c>
      <c r="B49" s="3">
        <v>3.45339496094562</v>
      </c>
      <c r="C49" s="3">
        <v>74.78085679725</v>
      </c>
      <c r="D49" s="3">
        <v>0.229071666</v>
      </c>
      <c r="E49" s="3">
        <v>9.531120732</v>
      </c>
      <c r="F49" s="3">
        <v>87.33319</v>
      </c>
      <c r="G49" s="4">
        <v>1.2378125</v>
      </c>
      <c r="H49">
        <f t="shared" si="0"/>
        <v>4.27465545009551</v>
      </c>
      <c r="I49">
        <f t="shared" si="1"/>
        <v>92.564679304346</v>
      </c>
      <c r="J49">
        <f t="shared" si="2"/>
        <v>22.9071666</v>
      </c>
      <c r="K49" s="7">
        <f t="shared" si="3"/>
        <v>873.3319</v>
      </c>
      <c r="N49" s="2"/>
    </row>
    <row r="50" ht="14.25" spans="1:14">
      <c r="A50" s="2">
        <v>200</v>
      </c>
      <c r="B50" s="3">
        <v>4.34241006795</v>
      </c>
      <c r="C50" s="3">
        <v>83.35686303225</v>
      </c>
      <c r="D50" s="3">
        <v>0.229139162</v>
      </c>
      <c r="E50" s="3">
        <v>9.661249224</v>
      </c>
      <c r="F50" s="3">
        <v>87.33753</v>
      </c>
      <c r="G50" s="4">
        <v>1.275</v>
      </c>
      <c r="H50">
        <f t="shared" si="0"/>
        <v>5.53657283663625</v>
      </c>
      <c r="I50">
        <f t="shared" si="1"/>
        <v>106.280000366119</v>
      </c>
      <c r="J50">
        <f t="shared" si="2"/>
        <v>22.9139162</v>
      </c>
      <c r="K50" s="7">
        <f t="shared" si="3"/>
        <v>873.3753</v>
      </c>
      <c r="N50" s="2"/>
    </row>
    <row r="51" ht="14.25" spans="1:14">
      <c r="A51" s="2">
        <v>210</v>
      </c>
      <c r="B51" s="3">
        <v>5.11026442970656</v>
      </c>
      <c r="C51" s="3">
        <v>102.808182042191</v>
      </c>
      <c r="D51" s="3">
        <v>0.261944868</v>
      </c>
      <c r="E51" s="3">
        <v>9.785214504</v>
      </c>
      <c r="F51" s="3">
        <v>87.33947</v>
      </c>
      <c r="G51" s="4">
        <v>1.2821875</v>
      </c>
      <c r="H51">
        <f t="shared" si="0"/>
        <v>6.55231717346438</v>
      </c>
      <c r="I51">
        <f t="shared" si="1"/>
        <v>131.819365912221</v>
      </c>
      <c r="J51">
        <f t="shared" si="2"/>
        <v>26.1944868</v>
      </c>
      <c r="K51" s="7">
        <f t="shared" si="3"/>
        <v>873.3947</v>
      </c>
      <c r="N51" s="2"/>
    </row>
    <row r="52" ht="14.25" spans="1:14">
      <c r="A52" s="2">
        <v>220</v>
      </c>
      <c r="B52" s="3">
        <v>5.52980693707</v>
      </c>
      <c r="C52" s="3">
        <v>111.4859025534</v>
      </c>
      <c r="D52" s="3">
        <v>0.261891009</v>
      </c>
      <c r="E52" s="3">
        <v>9.914504941</v>
      </c>
      <c r="F52" s="3">
        <v>87.34151</v>
      </c>
      <c r="G52" s="4">
        <v>1.285</v>
      </c>
      <c r="H52">
        <f t="shared" si="0"/>
        <v>7.10580191413495</v>
      </c>
      <c r="I52">
        <f t="shared" si="1"/>
        <v>143.259384781119</v>
      </c>
      <c r="J52">
        <f t="shared" si="2"/>
        <v>26.1891009</v>
      </c>
      <c r="K52" s="7">
        <f t="shared" si="3"/>
        <v>873.4151</v>
      </c>
      <c r="N52" s="2"/>
    </row>
    <row r="53" ht="14.25" spans="1:14">
      <c r="A53" s="2">
        <v>230</v>
      </c>
      <c r="B53" s="3">
        <v>5.7601794780825</v>
      </c>
      <c r="C53" s="3">
        <v>121.4044590803</v>
      </c>
      <c r="D53" s="3">
        <v>0.261864173</v>
      </c>
      <c r="E53" s="3">
        <v>10.04835729</v>
      </c>
      <c r="F53" s="3">
        <v>87.34366</v>
      </c>
      <c r="G53" s="4">
        <v>1.2725</v>
      </c>
      <c r="H53">
        <f t="shared" si="0"/>
        <v>7.32982838585998</v>
      </c>
      <c r="I53">
        <f t="shared" si="1"/>
        <v>154.487174179682</v>
      </c>
      <c r="J53">
        <f t="shared" si="2"/>
        <v>26.1864173</v>
      </c>
      <c r="K53" s="7">
        <f t="shared" si="3"/>
        <v>873.4366</v>
      </c>
      <c r="N53" s="2"/>
    </row>
    <row r="54" ht="14.25" spans="1:14">
      <c r="A54" s="2">
        <v>240</v>
      </c>
      <c r="B54" s="3">
        <v>5.90068167948</v>
      </c>
      <c r="C54" s="3">
        <v>132.616116234</v>
      </c>
      <c r="D54" s="3">
        <v>0.26187484</v>
      </c>
      <c r="E54" s="3">
        <v>10.18610554</v>
      </c>
      <c r="F54" s="3">
        <v>87.3459</v>
      </c>
      <c r="G54" s="4">
        <v>1.26</v>
      </c>
      <c r="H54">
        <f t="shared" si="0"/>
        <v>7.4348589161448</v>
      </c>
      <c r="I54">
        <f t="shared" si="1"/>
        <v>167.09630645484</v>
      </c>
      <c r="J54">
        <f t="shared" si="2"/>
        <v>26.187484</v>
      </c>
      <c r="K54" s="7">
        <f t="shared" si="3"/>
        <v>873.459</v>
      </c>
      <c r="N54" s="2"/>
    </row>
    <row r="55" ht="14.25" spans="1:14">
      <c r="A55" s="2">
        <v>250</v>
      </c>
      <c r="B55" s="3">
        <v>6.01246272525498</v>
      </c>
      <c r="C55" s="3">
        <v>145.175045511833</v>
      </c>
      <c r="D55" s="3">
        <v>0.261918378</v>
      </c>
      <c r="E55" s="3">
        <v>10.32717722</v>
      </c>
      <c r="F55" s="3">
        <v>87.34822</v>
      </c>
      <c r="G55" s="4">
        <v>1.26833333333333</v>
      </c>
      <c r="H55">
        <f t="shared" si="0"/>
        <v>7.62580688986505</v>
      </c>
      <c r="I55">
        <f t="shared" si="1"/>
        <v>184.130349390841</v>
      </c>
      <c r="J55">
        <f t="shared" si="2"/>
        <v>26.1918378</v>
      </c>
      <c r="K55" s="7">
        <f t="shared" si="3"/>
        <v>873.4822</v>
      </c>
      <c r="N55" s="2"/>
    </row>
    <row r="56" ht="14.25" spans="1:14">
      <c r="A56" s="2">
        <v>260</v>
      </c>
      <c r="B56" s="3">
        <v>6.13659586958</v>
      </c>
      <c r="C56" s="3">
        <v>159.118120592</v>
      </c>
      <c r="D56" s="3">
        <v>0.262000924</v>
      </c>
      <c r="E56" s="3">
        <v>10.47103584</v>
      </c>
      <c r="F56" s="3">
        <v>87.35064</v>
      </c>
      <c r="G56" s="4">
        <v>1.285</v>
      </c>
      <c r="H56">
        <f t="shared" si="0"/>
        <v>7.8855256924103</v>
      </c>
      <c r="I56">
        <f t="shared" si="1"/>
        <v>204.46678496072</v>
      </c>
      <c r="J56">
        <f t="shared" si="2"/>
        <v>26.2000924</v>
      </c>
      <c r="K56" s="7">
        <f t="shared" si="3"/>
        <v>873.5064</v>
      </c>
      <c r="N56" s="2"/>
    </row>
    <row r="57" ht="14.25" spans="1:14">
      <c r="A57" s="2">
        <v>270</v>
      </c>
      <c r="B57" s="3">
        <v>6.33110617036615</v>
      </c>
      <c r="C57" s="3">
        <v>174.46153031482</v>
      </c>
      <c r="D57" s="3">
        <v>0.262122692</v>
      </c>
      <c r="E57" s="3">
        <v>10.61715596</v>
      </c>
      <c r="F57" s="3">
        <v>87.35313</v>
      </c>
      <c r="G57" s="4">
        <v>1.31128205128205</v>
      </c>
      <c r="H57">
        <f t="shared" si="0"/>
        <v>8.30186588596217</v>
      </c>
      <c r="I57">
        <f t="shared" si="1"/>
        <v>228.768273341023</v>
      </c>
      <c r="J57">
        <f t="shared" si="2"/>
        <v>26.2122692</v>
      </c>
      <c r="K57" s="7">
        <f t="shared" si="3"/>
        <v>873.5313</v>
      </c>
      <c r="N57" s="2"/>
    </row>
    <row r="58" ht="14.25" spans="1:14">
      <c r="A58" s="2">
        <v>280</v>
      </c>
      <c r="B58" s="3">
        <v>6.73413134457</v>
      </c>
      <c r="C58" s="3">
        <v>191.203461144</v>
      </c>
      <c r="D58" s="3">
        <v>0.262288553</v>
      </c>
      <c r="E58" s="3">
        <v>10.76501647</v>
      </c>
      <c r="F58" s="3">
        <v>87.35571</v>
      </c>
      <c r="G58" s="4">
        <v>1.335</v>
      </c>
      <c r="H58">
        <f t="shared" si="0"/>
        <v>8.99006534500095</v>
      </c>
      <c r="I58">
        <f t="shared" si="1"/>
        <v>255.25662062724</v>
      </c>
      <c r="J58">
        <f t="shared" si="2"/>
        <v>26.2288553</v>
      </c>
      <c r="K58" s="7">
        <f t="shared" si="3"/>
        <v>873.5571</v>
      </c>
      <c r="N58" s="2"/>
    </row>
    <row r="59" ht="14.25" spans="1:14">
      <c r="A59" s="2">
        <v>290</v>
      </c>
      <c r="B59" s="3">
        <v>7.65809142092074</v>
      </c>
      <c r="C59" s="3">
        <v>209.318995737922</v>
      </c>
      <c r="D59" s="3">
        <v>0.262500852</v>
      </c>
      <c r="E59" s="3">
        <v>10.91409425</v>
      </c>
      <c r="F59" s="3">
        <v>87.35838</v>
      </c>
      <c r="G59" s="4">
        <v>1.34538461538461</v>
      </c>
      <c r="H59">
        <f t="shared" si="0"/>
        <v>10.3030783809156</v>
      </c>
      <c r="I59">
        <f t="shared" si="1"/>
        <v>281.614556573557</v>
      </c>
      <c r="J59">
        <f t="shared" si="2"/>
        <v>26.2500852</v>
      </c>
      <c r="K59" s="7">
        <f t="shared" si="3"/>
        <v>873.5838</v>
      </c>
      <c r="N59" s="2"/>
    </row>
    <row r="60" ht="14.25" spans="1:14">
      <c r="A60" s="2">
        <v>300</v>
      </c>
      <c r="B60" s="3">
        <v>9.6275981376</v>
      </c>
      <c r="C60" s="3">
        <v>228.760758765</v>
      </c>
      <c r="D60" s="3">
        <v>0.262766243</v>
      </c>
      <c r="E60" s="3">
        <v>11.06387584</v>
      </c>
      <c r="F60" s="3">
        <v>87.36115</v>
      </c>
      <c r="G60" s="4">
        <v>1.35</v>
      </c>
      <c r="H60">
        <f t="shared" si="0"/>
        <v>12.99725748576</v>
      </c>
      <c r="I60">
        <f t="shared" si="1"/>
        <v>308.82702433275</v>
      </c>
      <c r="J60">
        <f t="shared" si="2"/>
        <v>26.2766243</v>
      </c>
      <c r="K60" s="7">
        <f t="shared" si="3"/>
        <v>873.6115</v>
      </c>
      <c r="N60" s="2"/>
    </row>
    <row r="61" ht="14.25" spans="1:14">
      <c r="A61" s="2">
        <v>310</v>
      </c>
      <c r="B61" s="3">
        <v>10.795350208617</v>
      </c>
      <c r="C61" s="3">
        <v>314.4238667076</v>
      </c>
      <c r="D61" s="3">
        <v>0.349470777</v>
      </c>
      <c r="E61" s="3">
        <v>11.19059851</v>
      </c>
      <c r="F61" s="3">
        <v>87.36171</v>
      </c>
      <c r="G61" s="4">
        <v>1.347</v>
      </c>
      <c r="H61">
        <f t="shared" si="0"/>
        <v>14.5413367310071</v>
      </c>
      <c r="I61">
        <f t="shared" si="1"/>
        <v>423.528948455137</v>
      </c>
      <c r="J61">
        <f t="shared" si="2"/>
        <v>34.9470777</v>
      </c>
      <c r="K61" s="7">
        <f t="shared" si="3"/>
        <v>873.6171</v>
      </c>
      <c r="N61" s="2"/>
    </row>
    <row r="62" ht="14.25" spans="1:14">
      <c r="A62" s="2">
        <v>320</v>
      </c>
      <c r="B62" s="3">
        <v>11.67426069364</v>
      </c>
      <c r="C62" s="3">
        <v>321.104476576</v>
      </c>
      <c r="D62" s="3">
        <v>0.345530643</v>
      </c>
      <c r="E62" s="3">
        <v>11.31768183</v>
      </c>
      <c r="F62" s="3">
        <v>87.36231</v>
      </c>
      <c r="G62" s="4">
        <v>1.34</v>
      </c>
      <c r="H62">
        <f t="shared" si="0"/>
        <v>15.6435093294776</v>
      </c>
      <c r="I62">
        <f t="shared" si="1"/>
        <v>430.27999861184</v>
      </c>
      <c r="J62">
        <f t="shared" si="2"/>
        <v>34.5530643</v>
      </c>
      <c r="K62" s="7">
        <f t="shared" si="3"/>
        <v>873.6231</v>
      </c>
      <c r="N62" s="2"/>
    </row>
    <row r="63" ht="14.25" spans="1:14">
      <c r="A63" s="2">
        <v>330</v>
      </c>
      <c r="B63" s="3">
        <v>12.362393456328</v>
      </c>
      <c r="C63" s="3">
        <v>327.422187498</v>
      </c>
      <c r="D63" s="3">
        <v>0.341322794</v>
      </c>
      <c r="E63" s="3">
        <v>11.44473306</v>
      </c>
      <c r="F63" s="3">
        <v>87.36295</v>
      </c>
      <c r="G63" s="4">
        <v>1.318</v>
      </c>
      <c r="H63">
        <f t="shared" si="0"/>
        <v>16.2936345754403</v>
      </c>
      <c r="I63">
        <f t="shared" si="1"/>
        <v>431.542443122364</v>
      </c>
      <c r="J63">
        <f t="shared" si="2"/>
        <v>34.1322794</v>
      </c>
      <c r="K63" s="7">
        <f t="shared" si="3"/>
        <v>873.6295</v>
      </c>
      <c r="N63" s="2"/>
    </row>
    <row r="64" ht="14.25" spans="1:14">
      <c r="A64" s="2">
        <v>340</v>
      </c>
      <c r="B64" s="3">
        <v>12.8211249712</v>
      </c>
      <c r="C64" s="3">
        <v>333.29455718</v>
      </c>
      <c r="D64" s="3">
        <v>0.336831902</v>
      </c>
      <c r="E64" s="3">
        <v>11.57137635</v>
      </c>
      <c r="F64" s="3">
        <v>87.36365</v>
      </c>
      <c r="G64" s="4">
        <v>1.3</v>
      </c>
      <c r="H64">
        <f t="shared" si="0"/>
        <v>16.66746246256</v>
      </c>
      <c r="I64">
        <f t="shared" si="1"/>
        <v>433.282924334</v>
      </c>
      <c r="J64">
        <f t="shared" si="2"/>
        <v>33.6831902</v>
      </c>
      <c r="K64" s="7">
        <f t="shared" si="3"/>
        <v>873.6365</v>
      </c>
      <c r="N64" s="2"/>
    </row>
    <row r="65" ht="14.25" spans="1:14">
      <c r="A65" s="2">
        <v>350</v>
      </c>
      <c r="B65" s="3">
        <v>13.05116527854</v>
      </c>
      <c r="C65" s="3">
        <v>338.6254179025</v>
      </c>
      <c r="D65" s="3">
        <v>0.3320352</v>
      </c>
      <c r="E65" s="3">
        <v>11.6972528</v>
      </c>
      <c r="F65" s="3">
        <v>87.3644</v>
      </c>
      <c r="G65" s="4">
        <v>1.315</v>
      </c>
      <c r="H65">
        <f t="shared" si="0"/>
        <v>17.1622823412801</v>
      </c>
      <c r="I65">
        <f t="shared" si="1"/>
        <v>445.292424541787</v>
      </c>
      <c r="J65">
        <f t="shared" si="2"/>
        <v>33.20352</v>
      </c>
      <c r="K65" s="7">
        <f t="shared" si="3"/>
        <v>873.644</v>
      </c>
      <c r="N65" s="2"/>
    </row>
    <row r="66" ht="14.25" spans="1:14">
      <c r="A66" s="2">
        <v>360</v>
      </c>
      <c r="B66" s="3">
        <v>13.07667836867</v>
      </c>
      <c r="C66" s="3">
        <v>343.311690232</v>
      </c>
      <c r="D66" s="3">
        <v>0.326918324</v>
      </c>
      <c r="E66" s="3">
        <v>11.82201797</v>
      </c>
      <c r="F66" s="3">
        <v>87.36523</v>
      </c>
      <c r="G66" s="4">
        <v>1.33</v>
      </c>
      <c r="H66">
        <f t="shared" ref="H66:H129" si="4">B66*G66</f>
        <v>17.3919822303311</v>
      </c>
      <c r="I66">
        <f t="shared" ref="I66:I129" si="5">C66*G66</f>
        <v>456.60454800856</v>
      </c>
      <c r="J66">
        <f t="shared" ref="J66:J129" si="6">D66*100</f>
        <v>32.6918324</v>
      </c>
      <c r="K66" s="7">
        <f t="shared" si="3"/>
        <v>873.6523</v>
      </c>
      <c r="N66" s="2"/>
    </row>
    <row r="67" ht="14.25" spans="1:14">
      <c r="A67" s="2">
        <v>370</v>
      </c>
      <c r="B67" s="3">
        <v>12.932325518935</v>
      </c>
      <c r="C67" s="3">
        <v>347.2449308275</v>
      </c>
      <c r="D67" s="3">
        <v>0.321476087</v>
      </c>
      <c r="E67" s="3">
        <v>11.94534575</v>
      </c>
      <c r="F67" s="3">
        <v>87.36615</v>
      </c>
      <c r="G67" s="4">
        <v>1.3075</v>
      </c>
      <c r="H67">
        <f t="shared" si="4"/>
        <v>16.9090156160075</v>
      </c>
      <c r="I67">
        <f t="shared" si="5"/>
        <v>454.022747056956</v>
      </c>
      <c r="J67">
        <f t="shared" si="6"/>
        <v>32.1476087</v>
      </c>
      <c r="K67" s="7">
        <f t="shared" ref="K67:K130" si="7">F67*10</f>
        <v>873.6615</v>
      </c>
      <c r="N67" s="2"/>
    </row>
    <row r="68" ht="14.25" spans="1:14">
      <c r="A68" s="2">
        <v>380</v>
      </c>
      <c r="B68" s="3">
        <v>12.65642077408</v>
      </c>
      <c r="C68" s="3">
        <v>350.302468882</v>
      </c>
      <c r="D68" s="3">
        <v>0.315690129</v>
      </c>
      <c r="E68" s="3">
        <v>12.06693614</v>
      </c>
      <c r="F68" s="3">
        <v>87.36717</v>
      </c>
      <c r="G68" s="4">
        <v>1.285</v>
      </c>
      <c r="H68">
        <f t="shared" si="4"/>
        <v>16.2635006946928</v>
      </c>
      <c r="I68">
        <f t="shared" si="5"/>
        <v>450.13867251337</v>
      </c>
      <c r="J68">
        <f t="shared" si="6"/>
        <v>31.5690129</v>
      </c>
      <c r="K68" s="7">
        <f t="shared" si="7"/>
        <v>873.6717</v>
      </c>
      <c r="N68" s="2"/>
    </row>
    <row r="69" ht="14.25" spans="1:14">
      <c r="A69" s="2">
        <v>390</v>
      </c>
      <c r="B69" s="3">
        <v>12.2881381458035</v>
      </c>
      <c r="C69" s="3">
        <v>352.358820313321</v>
      </c>
      <c r="D69" s="3">
        <v>0.30955746</v>
      </c>
      <c r="E69" s="3">
        <v>12.18650981</v>
      </c>
      <c r="F69" s="3">
        <v>87.36829</v>
      </c>
      <c r="G69" s="4">
        <v>1.31135416666666</v>
      </c>
      <c r="H69">
        <f t="shared" si="4"/>
        <v>16.1141011580749</v>
      </c>
      <c r="I69">
        <f t="shared" si="5"/>
        <v>462.067207179623</v>
      </c>
      <c r="J69">
        <f t="shared" si="6"/>
        <v>30.955746</v>
      </c>
      <c r="K69" s="7">
        <f t="shared" si="7"/>
        <v>873.6829</v>
      </c>
      <c r="N69" s="2"/>
    </row>
    <row r="70" ht="14.25" spans="1:14">
      <c r="A70" s="2">
        <v>400</v>
      </c>
      <c r="B70" s="3">
        <v>11.86598655766</v>
      </c>
      <c r="C70" s="3">
        <v>353.291336206</v>
      </c>
      <c r="D70" s="3">
        <v>0.303089549</v>
      </c>
      <c r="E70" s="3">
        <v>12.30380587</v>
      </c>
      <c r="F70" s="3">
        <v>87.36952</v>
      </c>
      <c r="G70" s="4">
        <v>1.34</v>
      </c>
      <c r="H70">
        <f t="shared" si="4"/>
        <v>15.9004219872644</v>
      </c>
      <c r="I70">
        <f t="shared" si="5"/>
        <v>473.41039051604</v>
      </c>
      <c r="J70">
        <f t="shared" si="6"/>
        <v>30.3089549</v>
      </c>
      <c r="K70" s="7">
        <f t="shared" si="7"/>
        <v>873.6952</v>
      </c>
      <c r="N70" s="2"/>
    </row>
    <row r="71" ht="14.25" spans="1:14">
      <c r="A71" s="2">
        <v>410</v>
      </c>
      <c r="B71" s="3">
        <v>11.4260241423084</v>
      </c>
      <c r="C71" s="3">
        <v>352.972695694885</v>
      </c>
      <c r="D71" s="3">
        <v>0.296302097</v>
      </c>
      <c r="E71" s="3">
        <v>12.41858595</v>
      </c>
      <c r="F71" s="3">
        <v>87.37086</v>
      </c>
      <c r="G71" s="4">
        <v>1.34364583333333</v>
      </c>
      <c r="H71">
        <f t="shared" si="4"/>
        <v>15.3525297303787</v>
      </c>
      <c r="I71">
        <f t="shared" si="5"/>
        <v>474.270291850865</v>
      </c>
      <c r="J71">
        <f t="shared" si="6"/>
        <v>29.6302097</v>
      </c>
      <c r="K71" s="7">
        <f t="shared" si="7"/>
        <v>873.7086</v>
      </c>
      <c r="N71" s="2"/>
    </row>
    <row r="72" ht="14.25" spans="1:14">
      <c r="A72" s="2">
        <v>420</v>
      </c>
      <c r="B72" s="3">
        <v>10.99963934133</v>
      </c>
      <c r="C72" s="3">
        <v>351.2939055655</v>
      </c>
      <c r="D72" s="3">
        <v>0.289234658</v>
      </c>
      <c r="E72" s="3">
        <v>12.53063231</v>
      </c>
      <c r="F72" s="3">
        <v>87.37231</v>
      </c>
      <c r="G72" s="4">
        <v>1.345</v>
      </c>
      <c r="H72">
        <f t="shared" si="4"/>
        <v>14.7945149140888</v>
      </c>
      <c r="I72">
        <f t="shared" si="5"/>
        <v>472.490302985597</v>
      </c>
      <c r="J72">
        <f t="shared" si="6"/>
        <v>28.9234658</v>
      </c>
      <c r="K72" s="7">
        <f t="shared" si="7"/>
        <v>873.7231</v>
      </c>
      <c r="N72" s="2"/>
    </row>
    <row r="73" ht="14.25" spans="1:14">
      <c r="A73" s="2">
        <v>430</v>
      </c>
      <c r="B73" s="3">
        <v>10.611318986189</v>
      </c>
      <c r="C73" s="3">
        <v>348.15592713718</v>
      </c>
      <c r="D73" s="3">
        <v>0.28194125</v>
      </c>
      <c r="E73" s="3">
        <v>12.63974761</v>
      </c>
      <c r="F73" s="3">
        <v>87.3739</v>
      </c>
      <c r="G73" s="4">
        <v>1.29727272727272</v>
      </c>
      <c r="H73">
        <f t="shared" si="4"/>
        <v>13.7657747211742</v>
      </c>
      <c r="I73">
        <f t="shared" si="5"/>
        <v>451.653189113412</v>
      </c>
      <c r="J73">
        <f t="shared" si="6"/>
        <v>28.194125</v>
      </c>
      <c r="K73" s="7">
        <f t="shared" si="7"/>
        <v>873.739</v>
      </c>
      <c r="N73" s="2"/>
    </row>
    <row r="74" ht="14.25" spans="1:14">
      <c r="A74" s="2">
        <v>440</v>
      </c>
      <c r="B74" s="3">
        <v>10.276973169135</v>
      </c>
      <c r="C74" s="3">
        <v>343.4928866205</v>
      </c>
      <c r="D74" s="3">
        <v>0.274497652</v>
      </c>
      <c r="E74" s="3">
        <v>12.74575449</v>
      </c>
      <c r="F74" s="3">
        <v>87.37563</v>
      </c>
      <c r="G74" s="4">
        <v>1.245</v>
      </c>
      <c r="H74">
        <f t="shared" si="4"/>
        <v>12.7948315955731</v>
      </c>
      <c r="I74">
        <f t="shared" si="5"/>
        <v>427.648643842523</v>
      </c>
      <c r="J74">
        <f t="shared" si="6"/>
        <v>27.4497652</v>
      </c>
      <c r="K74" s="7">
        <f t="shared" si="7"/>
        <v>873.7563</v>
      </c>
      <c r="N74" s="2"/>
    </row>
    <row r="75" ht="14.25" spans="1:14">
      <c r="A75" s="2">
        <v>450</v>
      </c>
      <c r="B75" s="3">
        <v>10.0032763461559</v>
      </c>
      <c r="C75" s="3">
        <v>337.279306703181</v>
      </c>
      <c r="D75" s="3">
        <v>0.267007751</v>
      </c>
      <c r="E75" s="3">
        <v>12.84849195</v>
      </c>
      <c r="F75" s="3">
        <v>87.37751</v>
      </c>
      <c r="G75" s="4">
        <v>1.23772727272727</v>
      </c>
      <c r="H75">
        <f t="shared" si="4"/>
        <v>12.3813279502647</v>
      </c>
      <c r="I75">
        <f t="shared" si="5"/>
        <v>417.459796433073</v>
      </c>
      <c r="J75">
        <f t="shared" si="6"/>
        <v>26.7007751</v>
      </c>
      <c r="K75" s="7">
        <f t="shared" si="7"/>
        <v>873.7751</v>
      </c>
      <c r="N75" s="2"/>
    </row>
    <row r="76" ht="14.25" spans="1:14">
      <c r="A76" s="2">
        <v>460</v>
      </c>
      <c r="B76" s="3">
        <v>9.788385087975</v>
      </c>
      <c r="C76" s="3">
        <v>329.5460912705</v>
      </c>
      <c r="D76" s="3">
        <v>0.259609646</v>
      </c>
      <c r="E76" s="3">
        <v>12.94781443</v>
      </c>
      <c r="F76" s="3">
        <v>87.37956</v>
      </c>
      <c r="G76" s="4">
        <v>1.235</v>
      </c>
      <c r="H76">
        <f t="shared" si="4"/>
        <v>12.0886555836491</v>
      </c>
      <c r="I76">
        <f t="shared" si="5"/>
        <v>406.989422719068</v>
      </c>
      <c r="J76">
        <f t="shared" si="6"/>
        <v>25.9609646</v>
      </c>
      <c r="K76" s="7">
        <f t="shared" si="7"/>
        <v>873.7956</v>
      </c>
      <c r="N76" s="2"/>
    </row>
    <row r="77" ht="14.25" spans="1:14">
      <c r="A77" s="2">
        <v>470</v>
      </c>
      <c r="B77" s="3">
        <v>9.62405978365609</v>
      </c>
      <c r="C77" s="3">
        <v>320.381609070656</v>
      </c>
      <c r="D77" s="3">
        <v>0.25245729</v>
      </c>
      <c r="E77" s="3">
        <v>13.04359403</v>
      </c>
      <c r="F77" s="3">
        <v>87.38178</v>
      </c>
      <c r="G77" s="4">
        <v>1.24515625</v>
      </c>
      <c r="H77">
        <f t="shared" si="4"/>
        <v>11.983458189993</v>
      </c>
      <c r="I77">
        <f t="shared" si="5"/>
        <v>398.925162919384</v>
      </c>
      <c r="J77">
        <f t="shared" si="6"/>
        <v>25.245729</v>
      </c>
      <c r="K77" s="7">
        <f t="shared" si="7"/>
        <v>873.8178</v>
      </c>
      <c r="N77" s="2"/>
    </row>
    <row r="78" ht="14.25" spans="1:14">
      <c r="A78" s="2">
        <v>480</v>
      </c>
      <c r="B78" s="3">
        <v>9.49887050112</v>
      </c>
      <c r="C78" s="3">
        <v>309.943517814</v>
      </c>
      <c r="D78" s="3">
        <v>0.245715723</v>
      </c>
      <c r="E78" s="3">
        <v>13.13571779</v>
      </c>
      <c r="F78" s="3">
        <v>87.38416</v>
      </c>
      <c r="G78" s="4">
        <v>1.26</v>
      </c>
      <c r="H78">
        <f t="shared" si="4"/>
        <v>11.9685768314112</v>
      </c>
      <c r="I78">
        <f t="shared" si="5"/>
        <v>390.52883244564</v>
      </c>
      <c r="J78">
        <f t="shared" si="6"/>
        <v>24.5715723</v>
      </c>
      <c r="K78" s="7">
        <f t="shared" si="7"/>
        <v>873.8416</v>
      </c>
      <c r="N78" s="2"/>
    </row>
    <row r="79" ht="14.25" spans="1:14">
      <c r="A79" s="2">
        <v>490</v>
      </c>
      <c r="B79" s="3">
        <v>9.40131124824937</v>
      </c>
      <c r="C79" s="3">
        <v>298.454985077484</v>
      </c>
      <c r="D79" s="3">
        <v>0.23955084</v>
      </c>
      <c r="E79" s="3">
        <v>13.22408393</v>
      </c>
      <c r="F79" s="3">
        <v>87.38668</v>
      </c>
      <c r="G79" s="4">
        <v>1.26984375</v>
      </c>
      <c r="H79">
        <f t="shared" si="4"/>
        <v>11.9381963303942</v>
      </c>
      <c r="I79">
        <f t="shared" si="5"/>
        <v>378.991197456987</v>
      </c>
      <c r="J79">
        <f t="shared" si="6"/>
        <v>23.955084</v>
      </c>
      <c r="K79" s="7">
        <f t="shared" si="7"/>
        <v>873.8668</v>
      </c>
      <c r="N79" s="2"/>
    </row>
    <row r="80" ht="14.25" spans="1:14">
      <c r="A80" s="2">
        <v>500</v>
      </c>
      <c r="B80" s="3">
        <v>9.32222564055</v>
      </c>
      <c r="C80" s="3">
        <v>286.21141452</v>
      </c>
      <c r="D80" s="3">
        <v>0.234119317</v>
      </c>
      <c r="E80" s="3">
        <v>13.30859944</v>
      </c>
      <c r="F80" s="3">
        <v>87.38928</v>
      </c>
      <c r="G80" s="4">
        <v>1.275</v>
      </c>
      <c r="H80">
        <f t="shared" si="4"/>
        <v>11.8858376917012</v>
      </c>
      <c r="I80">
        <f t="shared" si="5"/>
        <v>364.919553513</v>
      </c>
      <c r="J80">
        <f t="shared" si="6"/>
        <v>23.4119317</v>
      </c>
      <c r="K80" s="7">
        <f t="shared" si="7"/>
        <v>873.8928</v>
      </c>
      <c r="N80" s="2"/>
    </row>
    <row r="81" ht="14.25" spans="1:14">
      <c r="A81" s="2">
        <v>510</v>
      </c>
      <c r="B81" s="3">
        <v>9.245269828575</v>
      </c>
      <c r="C81" s="3">
        <v>267.4505196</v>
      </c>
      <c r="D81" s="3">
        <v>0.224591032</v>
      </c>
      <c r="E81" s="3">
        <v>13.39768608</v>
      </c>
      <c r="F81" s="3">
        <v>87.39369</v>
      </c>
      <c r="G81" s="4">
        <v>1.2375</v>
      </c>
      <c r="H81">
        <f t="shared" si="4"/>
        <v>11.4410214128616</v>
      </c>
      <c r="I81">
        <f t="shared" si="5"/>
        <v>330.970018005</v>
      </c>
      <c r="J81">
        <f t="shared" si="6"/>
        <v>22.4591032</v>
      </c>
      <c r="K81" s="7">
        <f t="shared" si="7"/>
        <v>873.9369</v>
      </c>
      <c r="N81" s="2"/>
    </row>
    <row r="82" ht="14.25" spans="1:14">
      <c r="A82" s="2">
        <v>520</v>
      </c>
      <c r="B82" s="3">
        <v>9.1816459548</v>
      </c>
      <c r="C82" s="3">
        <v>250.94349888</v>
      </c>
      <c r="D82" s="3">
        <v>0.218046371</v>
      </c>
      <c r="E82" s="3">
        <v>13.48302231</v>
      </c>
      <c r="F82" s="3">
        <v>87.39837</v>
      </c>
      <c r="G82" s="4">
        <v>1.2</v>
      </c>
      <c r="H82">
        <f t="shared" si="4"/>
        <v>11.01797514576</v>
      </c>
      <c r="I82">
        <f t="shared" si="5"/>
        <v>301.132198656</v>
      </c>
      <c r="J82">
        <f t="shared" si="6"/>
        <v>21.8046371</v>
      </c>
      <c r="K82" s="7">
        <f t="shared" si="7"/>
        <v>873.9837</v>
      </c>
      <c r="N82" s="2"/>
    </row>
    <row r="83" ht="14.25" spans="1:14">
      <c r="A83" s="2">
        <v>530</v>
      </c>
      <c r="B83" s="3">
        <v>9.1276712253875</v>
      </c>
      <c r="C83" s="3">
        <v>234.67295126675</v>
      </c>
      <c r="D83" s="3">
        <v>0.212654222</v>
      </c>
      <c r="E83" s="3">
        <v>13.56452357</v>
      </c>
      <c r="F83" s="3">
        <v>87.40328</v>
      </c>
      <c r="G83" s="4">
        <v>1.2275</v>
      </c>
      <c r="H83">
        <f t="shared" si="4"/>
        <v>11.2042164291632</v>
      </c>
      <c r="I83">
        <f t="shared" si="5"/>
        <v>288.061047679936</v>
      </c>
      <c r="J83">
        <f t="shared" si="6"/>
        <v>21.2654222</v>
      </c>
      <c r="K83" s="7">
        <f t="shared" si="7"/>
        <v>874.0328</v>
      </c>
      <c r="N83" s="2"/>
    </row>
    <row r="84" ht="14.25" spans="1:14">
      <c r="A84" s="2">
        <v>540</v>
      </c>
      <c r="B84" s="3">
        <v>9.08276832298</v>
      </c>
      <c r="C84" s="3">
        <v>218.9142195805</v>
      </c>
      <c r="D84" s="3">
        <v>0.208421751</v>
      </c>
      <c r="E84" s="3">
        <v>13.64210526</v>
      </c>
      <c r="F84" s="3">
        <v>87.40838</v>
      </c>
      <c r="G84" s="4">
        <v>1.255</v>
      </c>
      <c r="H84">
        <f t="shared" si="4"/>
        <v>11.3988742453399</v>
      </c>
      <c r="I84">
        <f t="shared" si="5"/>
        <v>274.737345573527</v>
      </c>
      <c r="J84">
        <f t="shared" si="6"/>
        <v>20.8421751</v>
      </c>
      <c r="K84" s="7">
        <f t="shared" si="7"/>
        <v>874.0838</v>
      </c>
      <c r="N84" s="2"/>
    </row>
    <row r="85" ht="14.25" spans="1:14">
      <c r="A85" s="2">
        <v>550</v>
      </c>
      <c r="B85" s="3">
        <v>9.045365898085</v>
      </c>
      <c r="C85" s="3">
        <v>203.9317512215</v>
      </c>
      <c r="D85" s="3">
        <v>0.20535008</v>
      </c>
      <c r="E85" s="3">
        <v>13.71567142</v>
      </c>
      <c r="F85" s="3">
        <v>87.41364</v>
      </c>
      <c r="G85" s="4">
        <v>1.255</v>
      </c>
      <c r="H85">
        <f t="shared" si="4"/>
        <v>11.3519342020967</v>
      </c>
      <c r="I85">
        <f t="shared" si="5"/>
        <v>255.934347782982</v>
      </c>
      <c r="J85">
        <f t="shared" si="6"/>
        <v>20.535008</v>
      </c>
      <c r="K85" s="7">
        <f t="shared" si="7"/>
        <v>874.1364</v>
      </c>
      <c r="N85" s="2"/>
    </row>
    <row r="86" ht="14.25" spans="1:14">
      <c r="A86" s="2">
        <v>560</v>
      </c>
      <c r="B86" s="3">
        <v>9.01475009904</v>
      </c>
      <c r="C86" s="3">
        <v>189.939382357</v>
      </c>
      <c r="D86" s="3">
        <v>0.203399055</v>
      </c>
      <c r="E86" s="3">
        <v>13.78511614</v>
      </c>
      <c r="F86" s="3">
        <v>87.41899</v>
      </c>
      <c r="G86" s="4">
        <v>1.255</v>
      </c>
      <c r="H86">
        <f t="shared" si="4"/>
        <v>11.3135113742952</v>
      </c>
      <c r="I86">
        <f t="shared" si="5"/>
        <v>238.373924858035</v>
      </c>
      <c r="J86">
        <f t="shared" si="6"/>
        <v>20.3399055</v>
      </c>
      <c r="K86" s="7">
        <f t="shared" si="7"/>
        <v>874.1899</v>
      </c>
      <c r="N86" s="2"/>
    </row>
    <row r="87" ht="14.25" spans="1:14">
      <c r="A87" s="2">
        <v>570</v>
      </c>
      <c r="B87" s="3">
        <v>8.987578483785</v>
      </c>
      <c r="C87" s="3">
        <v>177.1660981215</v>
      </c>
      <c r="D87" s="3">
        <v>0.202573281</v>
      </c>
      <c r="E87" s="3">
        <v>13.85034172</v>
      </c>
      <c r="F87" s="3">
        <v>87.4244</v>
      </c>
      <c r="G87" s="4">
        <v>1.285</v>
      </c>
      <c r="H87">
        <f t="shared" si="4"/>
        <v>11.5490383516637</v>
      </c>
      <c r="I87">
        <f t="shared" si="5"/>
        <v>227.658436086127</v>
      </c>
      <c r="J87">
        <f t="shared" si="6"/>
        <v>20.2573281</v>
      </c>
      <c r="K87" s="7">
        <f t="shared" si="7"/>
        <v>874.244</v>
      </c>
      <c r="N87" s="2"/>
    </row>
    <row r="88" ht="14.25" spans="1:14">
      <c r="A88" s="2">
        <v>580</v>
      </c>
      <c r="B88" s="3">
        <v>8.965448500085</v>
      </c>
      <c r="C88" s="3">
        <v>165.956273824</v>
      </c>
      <c r="D88" s="3">
        <v>0.202910707</v>
      </c>
      <c r="E88" s="3">
        <v>13.91134855</v>
      </c>
      <c r="F88" s="3">
        <v>87.42979</v>
      </c>
      <c r="G88" s="4">
        <v>1.315</v>
      </c>
      <c r="H88">
        <f t="shared" si="4"/>
        <v>11.7895647776118</v>
      </c>
      <c r="I88">
        <f t="shared" si="5"/>
        <v>218.23250007856</v>
      </c>
      <c r="J88">
        <f t="shared" si="6"/>
        <v>20.2910707</v>
      </c>
      <c r="K88" s="7">
        <f t="shared" si="7"/>
        <v>874.2979</v>
      </c>
      <c r="N88" s="2"/>
    </row>
    <row r="89" ht="14.25" spans="1:14">
      <c r="A89" s="2">
        <v>590</v>
      </c>
      <c r="B89" s="3">
        <v>8.952644137465</v>
      </c>
      <c r="C89" s="3">
        <v>154.750674154125</v>
      </c>
      <c r="D89" s="3">
        <v>0.202158881</v>
      </c>
      <c r="E89" s="3">
        <v>13.96855016</v>
      </c>
      <c r="F89" s="3">
        <v>87.43498</v>
      </c>
      <c r="G89" s="4">
        <v>1.3103125</v>
      </c>
      <c r="H89">
        <f t="shared" si="4"/>
        <v>11.7307615213721</v>
      </c>
      <c r="I89">
        <f t="shared" si="5"/>
        <v>202.771742727577</v>
      </c>
      <c r="J89">
        <f t="shared" si="6"/>
        <v>20.2158881</v>
      </c>
      <c r="K89" s="7">
        <f t="shared" si="7"/>
        <v>874.3498</v>
      </c>
      <c r="N89" s="2"/>
    </row>
    <row r="90" ht="14.25" spans="1:14">
      <c r="A90" s="2">
        <v>600</v>
      </c>
      <c r="B90" s="3">
        <v>8.9468525952</v>
      </c>
      <c r="C90" s="3">
        <v>143.51030031</v>
      </c>
      <c r="D90" s="3">
        <v>0.200278307</v>
      </c>
      <c r="E90" s="3">
        <v>14.02215127</v>
      </c>
      <c r="F90" s="3">
        <v>87.44007</v>
      </c>
      <c r="G90" s="4">
        <v>1.3</v>
      </c>
      <c r="H90">
        <f t="shared" si="4"/>
        <v>11.63090837376</v>
      </c>
      <c r="I90">
        <f t="shared" si="5"/>
        <v>186.563390403</v>
      </c>
      <c r="J90">
        <f t="shared" si="6"/>
        <v>20.0278307</v>
      </c>
      <c r="K90" s="7">
        <f t="shared" si="7"/>
        <v>874.4007</v>
      </c>
      <c r="N90" s="2"/>
    </row>
    <row r="91" ht="14.25" spans="1:14">
      <c r="A91" s="2">
        <v>610</v>
      </c>
      <c r="B91" s="3">
        <v>8.94423545006469</v>
      </c>
      <c r="C91" s="3">
        <v>133.787606783406</v>
      </c>
      <c r="D91" s="3">
        <v>0.199552246</v>
      </c>
      <c r="E91" s="3">
        <v>14.07195245</v>
      </c>
      <c r="F91" s="3">
        <v>87.44535</v>
      </c>
      <c r="G91" s="4">
        <v>1.2746875</v>
      </c>
      <c r="H91">
        <f t="shared" si="4"/>
        <v>11.4011051252543</v>
      </c>
      <c r="I91">
        <f t="shared" si="5"/>
        <v>170.537390021723</v>
      </c>
      <c r="J91">
        <f t="shared" si="6"/>
        <v>19.9552246</v>
      </c>
      <c r="K91" s="7">
        <f t="shared" si="7"/>
        <v>874.4535</v>
      </c>
      <c r="N91" s="2"/>
    </row>
    <row r="92" ht="14.25" spans="1:14">
      <c r="A92" s="2">
        <v>620</v>
      </c>
      <c r="B92" s="3">
        <v>8.940191014645</v>
      </c>
      <c r="C92" s="3">
        <v>123.9538122645</v>
      </c>
      <c r="D92" s="3">
        <v>0.19766481</v>
      </c>
      <c r="E92" s="3">
        <v>14.1182568</v>
      </c>
      <c r="F92" s="3">
        <v>87.4505</v>
      </c>
      <c r="G92" s="4">
        <v>1.255</v>
      </c>
      <c r="H92">
        <f t="shared" si="4"/>
        <v>11.2199397233795</v>
      </c>
      <c r="I92">
        <f t="shared" si="5"/>
        <v>155.562034391947</v>
      </c>
      <c r="J92">
        <f t="shared" si="6"/>
        <v>19.766481</v>
      </c>
      <c r="K92" s="7">
        <f t="shared" si="7"/>
        <v>874.505</v>
      </c>
      <c r="N92" s="2"/>
    </row>
    <row r="93" ht="14.25" spans="1:14">
      <c r="A93" s="2">
        <v>630</v>
      </c>
      <c r="B93" s="3">
        <v>8.93899864847998</v>
      </c>
      <c r="C93" s="3">
        <v>115.508899557441</v>
      </c>
      <c r="D93" s="3">
        <v>0.196962039</v>
      </c>
      <c r="E93" s="3">
        <v>14.16092311</v>
      </c>
      <c r="F93" s="3">
        <v>87.45588</v>
      </c>
      <c r="G93" s="4">
        <v>1.27270833333333</v>
      </c>
      <c r="H93">
        <f t="shared" si="4"/>
        <v>11.3767380715758</v>
      </c>
      <c r="I93">
        <f t="shared" si="5"/>
        <v>147.009139040918</v>
      </c>
      <c r="J93">
        <f t="shared" si="6"/>
        <v>19.6962039</v>
      </c>
      <c r="K93" s="7">
        <f t="shared" si="7"/>
        <v>874.5588</v>
      </c>
      <c r="N93" s="2"/>
    </row>
    <row r="94" ht="14.25" spans="1:14">
      <c r="A94" s="2">
        <v>640</v>
      </c>
      <c r="B94" s="3">
        <v>8.936258333175</v>
      </c>
      <c r="C94" s="3">
        <v>106.9627005882</v>
      </c>
      <c r="D94" s="3">
        <v>0.195059986</v>
      </c>
      <c r="E94" s="3">
        <v>14.20030469</v>
      </c>
      <c r="F94" s="3">
        <v>87.46108</v>
      </c>
      <c r="G94" s="4">
        <v>1.305</v>
      </c>
      <c r="H94">
        <f t="shared" si="4"/>
        <v>11.6618171247934</v>
      </c>
      <c r="I94">
        <f t="shared" si="5"/>
        <v>139.586324267601</v>
      </c>
      <c r="J94">
        <f t="shared" si="6"/>
        <v>19.5059986</v>
      </c>
      <c r="K94" s="7">
        <f t="shared" si="7"/>
        <v>874.6108</v>
      </c>
      <c r="N94" s="2"/>
    </row>
    <row r="95" ht="14.25" spans="1:14">
      <c r="A95" s="2">
        <v>650</v>
      </c>
      <c r="B95" s="3">
        <v>8.9365924881037</v>
      </c>
      <c r="C95" s="3">
        <v>99.6536769026995</v>
      </c>
      <c r="D95" s="3">
        <v>0.194380305</v>
      </c>
      <c r="E95" s="3">
        <v>14.23622274</v>
      </c>
      <c r="F95" s="3">
        <v>87.46655</v>
      </c>
      <c r="G95" s="4">
        <v>1.34729166666666</v>
      </c>
      <c r="H95">
        <f t="shared" si="4"/>
        <v>12.040196587618</v>
      </c>
      <c r="I95">
        <f t="shared" si="5"/>
        <v>134.262568443699</v>
      </c>
      <c r="J95">
        <f t="shared" si="6"/>
        <v>19.4380305</v>
      </c>
      <c r="K95" s="7">
        <f t="shared" si="7"/>
        <v>874.6655</v>
      </c>
      <c r="N95" s="2"/>
    </row>
    <row r="96" ht="14.25" spans="1:14">
      <c r="A96" s="2">
        <v>660</v>
      </c>
      <c r="B96" s="3">
        <v>8.935558889125</v>
      </c>
      <c r="C96" s="3">
        <v>92.23184867875</v>
      </c>
      <c r="D96" s="3">
        <v>0.192463874</v>
      </c>
      <c r="E96" s="3">
        <v>14.26908674</v>
      </c>
      <c r="F96" s="3">
        <v>87.47179</v>
      </c>
      <c r="G96" s="4">
        <v>1.375</v>
      </c>
      <c r="H96">
        <f t="shared" si="4"/>
        <v>12.2863934725469</v>
      </c>
      <c r="I96">
        <f t="shared" si="5"/>
        <v>126.818791933281</v>
      </c>
      <c r="J96">
        <f t="shared" si="6"/>
        <v>19.2463874</v>
      </c>
      <c r="K96" s="7">
        <f t="shared" si="7"/>
        <v>874.7179</v>
      </c>
      <c r="N96" s="2"/>
    </row>
    <row r="97" ht="14.25" spans="1:14">
      <c r="A97" s="2">
        <v>670</v>
      </c>
      <c r="B97" s="3">
        <v>8.93795947130234</v>
      </c>
      <c r="C97" s="3">
        <v>85.8996154734513</v>
      </c>
      <c r="D97" s="3">
        <v>0.191803002</v>
      </c>
      <c r="E97" s="3">
        <v>14.29866947</v>
      </c>
      <c r="F97" s="3">
        <v>87.47735</v>
      </c>
      <c r="G97" s="4">
        <v>1.35985576923076</v>
      </c>
      <c r="H97">
        <f t="shared" si="4"/>
        <v>12.1543357522012</v>
      </c>
      <c r="I97">
        <f t="shared" si="5"/>
        <v>116.811087676277</v>
      </c>
      <c r="J97">
        <f t="shared" si="6"/>
        <v>19.1803002</v>
      </c>
      <c r="K97" s="7">
        <f t="shared" si="7"/>
        <v>874.7735</v>
      </c>
      <c r="N97" s="2"/>
    </row>
    <row r="98" ht="14.25" spans="1:14">
      <c r="A98" s="2">
        <v>680</v>
      </c>
      <c r="B98" s="3">
        <v>8.93919657057</v>
      </c>
      <c r="C98" s="3">
        <v>79.4429564593</v>
      </c>
      <c r="D98" s="3">
        <v>0.189867445</v>
      </c>
      <c r="E98" s="3">
        <v>14.32544342</v>
      </c>
      <c r="F98" s="3">
        <v>87.48259</v>
      </c>
      <c r="G98" s="4">
        <v>1.33</v>
      </c>
      <c r="H98">
        <f t="shared" si="4"/>
        <v>11.8891314388581</v>
      </c>
      <c r="I98">
        <f t="shared" si="5"/>
        <v>105.659132090869</v>
      </c>
      <c r="J98">
        <f t="shared" si="6"/>
        <v>18.9867445</v>
      </c>
      <c r="K98" s="7">
        <f t="shared" si="7"/>
        <v>874.8259</v>
      </c>
      <c r="N98" s="2"/>
    </row>
    <row r="99" ht="14.25" spans="1:14">
      <c r="A99" s="2">
        <v>690</v>
      </c>
      <c r="B99" s="3">
        <v>8.94418115808283</v>
      </c>
      <c r="C99" s="3">
        <v>73.9444204582721</v>
      </c>
      <c r="D99" s="3">
        <v>0.18922537</v>
      </c>
      <c r="E99" s="3">
        <v>14.34911875</v>
      </c>
      <c r="F99" s="3">
        <v>87.48822</v>
      </c>
      <c r="G99" s="4">
        <v>1.28014423076923</v>
      </c>
      <c r="H99">
        <f t="shared" si="4"/>
        <v>11.4498419084746</v>
      </c>
      <c r="I99">
        <f t="shared" si="5"/>
        <v>94.6595232472312</v>
      </c>
      <c r="J99">
        <f t="shared" si="6"/>
        <v>18.922537</v>
      </c>
      <c r="K99" s="7">
        <f t="shared" si="7"/>
        <v>874.8822</v>
      </c>
      <c r="N99" s="2"/>
    </row>
    <row r="100" ht="14.25" spans="1:14">
      <c r="A100" s="2">
        <v>700</v>
      </c>
      <c r="B100" s="3">
        <v>8.948126325945</v>
      </c>
      <c r="C100" s="3">
        <v>68.3163999231</v>
      </c>
      <c r="D100" s="3">
        <v>0.187269635</v>
      </c>
      <c r="E100" s="3">
        <v>14.37024205</v>
      </c>
      <c r="F100" s="3">
        <v>87.49344</v>
      </c>
      <c r="G100" s="4">
        <v>1.245</v>
      </c>
      <c r="H100">
        <f t="shared" si="4"/>
        <v>11.1404172758015</v>
      </c>
      <c r="I100">
        <f t="shared" si="5"/>
        <v>85.0539179042595</v>
      </c>
      <c r="J100">
        <f t="shared" si="6"/>
        <v>18.7269635</v>
      </c>
      <c r="K100" s="7">
        <f t="shared" si="7"/>
        <v>874.9344</v>
      </c>
      <c r="N100" s="2"/>
    </row>
    <row r="101" ht="14.25" spans="1:14">
      <c r="A101" s="2">
        <v>710</v>
      </c>
      <c r="B101" s="3">
        <v>8.956114490205</v>
      </c>
      <c r="C101" s="3">
        <v>63.54462074085</v>
      </c>
      <c r="D101" s="3">
        <v>0.186668055</v>
      </c>
      <c r="E101" s="3">
        <v>14.3878828</v>
      </c>
      <c r="F101" s="3">
        <v>87.49903</v>
      </c>
      <c r="G101" s="4">
        <v>1.305</v>
      </c>
      <c r="H101">
        <f t="shared" si="4"/>
        <v>11.6877294097175</v>
      </c>
      <c r="I101">
        <f t="shared" si="5"/>
        <v>82.9257300668092</v>
      </c>
      <c r="J101">
        <f t="shared" si="6"/>
        <v>18.6668055</v>
      </c>
      <c r="K101" s="7">
        <f t="shared" si="7"/>
        <v>874.9903</v>
      </c>
      <c r="N101" s="2"/>
    </row>
    <row r="102" ht="14.25" spans="1:14">
      <c r="A102" s="2">
        <v>720</v>
      </c>
      <c r="B102" s="3">
        <v>8.96319569418</v>
      </c>
      <c r="C102" s="3">
        <v>58.6643853978</v>
      </c>
      <c r="D102" s="3">
        <v>0.184746204</v>
      </c>
      <c r="E102" s="3">
        <v>14.40328823</v>
      </c>
      <c r="F102" s="3">
        <v>87.50414</v>
      </c>
      <c r="G102" s="4">
        <v>1.365</v>
      </c>
      <c r="H102">
        <f t="shared" si="4"/>
        <v>12.2347621225557</v>
      </c>
      <c r="I102">
        <f t="shared" si="5"/>
        <v>80.076886067997</v>
      </c>
      <c r="J102">
        <f t="shared" si="6"/>
        <v>18.4746204</v>
      </c>
      <c r="K102" s="7">
        <f t="shared" si="7"/>
        <v>875.0414</v>
      </c>
      <c r="N102" s="2"/>
    </row>
    <row r="103" ht="14.25" spans="1:14">
      <c r="A103" s="2">
        <v>730</v>
      </c>
      <c r="B103" s="3">
        <v>8.974305152082</v>
      </c>
      <c r="C103" s="3">
        <v>54.51813226476</v>
      </c>
      <c r="D103" s="3">
        <v>0.184128412</v>
      </c>
      <c r="E103" s="3">
        <v>14.41603276</v>
      </c>
      <c r="F103" s="3">
        <v>87.50975</v>
      </c>
      <c r="G103" s="4">
        <v>1.329</v>
      </c>
      <c r="H103">
        <f t="shared" si="4"/>
        <v>11.926851547117</v>
      </c>
      <c r="I103">
        <f t="shared" si="5"/>
        <v>72.454597779866</v>
      </c>
      <c r="J103">
        <f t="shared" si="6"/>
        <v>18.4128412</v>
      </c>
      <c r="K103" s="7">
        <f t="shared" si="7"/>
        <v>875.0975</v>
      </c>
      <c r="N103" s="2"/>
    </row>
    <row r="104" ht="14.25" spans="1:14">
      <c r="A104" s="9">
        <v>740</v>
      </c>
      <c r="B104" s="3">
        <v>8.98448291493</v>
      </c>
      <c r="C104" s="3">
        <v>50.2715610076</v>
      </c>
      <c r="D104" s="3">
        <v>0.182157877</v>
      </c>
      <c r="E104" s="3">
        <v>14.42679928</v>
      </c>
      <c r="F104" s="3">
        <v>87.51475</v>
      </c>
      <c r="G104" s="4">
        <v>1.285</v>
      </c>
      <c r="H104">
        <f t="shared" si="4"/>
        <v>11.545060545685</v>
      </c>
      <c r="I104">
        <f t="shared" si="5"/>
        <v>64.598955894766</v>
      </c>
      <c r="J104">
        <f t="shared" si="6"/>
        <v>18.2157877</v>
      </c>
      <c r="K104" s="7">
        <f t="shared" si="7"/>
        <v>875.1475</v>
      </c>
      <c r="N104" s="9"/>
    </row>
    <row r="105" ht="14.25" spans="1:14">
      <c r="A105" s="9">
        <v>750</v>
      </c>
      <c r="B105" s="3">
        <v>8.998817609899</v>
      </c>
      <c r="C105" s="3">
        <v>46.67845445802</v>
      </c>
      <c r="D105" s="3">
        <v>0.181518893</v>
      </c>
      <c r="E105" s="3">
        <v>14.43505658</v>
      </c>
      <c r="F105" s="3">
        <v>87.52037</v>
      </c>
      <c r="G105" s="4">
        <v>1.271</v>
      </c>
      <c r="H105">
        <f t="shared" si="4"/>
        <v>11.4374971821816</v>
      </c>
      <c r="I105">
        <f t="shared" si="5"/>
        <v>59.3283156161434</v>
      </c>
      <c r="J105">
        <f t="shared" si="6"/>
        <v>18.1518893</v>
      </c>
      <c r="K105" s="7">
        <f t="shared" si="7"/>
        <v>875.2037</v>
      </c>
      <c r="N105" s="9"/>
    </row>
    <row r="106" ht="14.25" spans="1:14">
      <c r="A106" s="9">
        <v>760</v>
      </c>
      <c r="B106" s="3">
        <v>9.01215449959</v>
      </c>
      <c r="C106" s="3">
        <v>42.99702961345</v>
      </c>
      <c r="D106" s="3">
        <v>0.179509027</v>
      </c>
      <c r="E106" s="3">
        <v>14.44159692</v>
      </c>
      <c r="F106" s="3">
        <v>87.52522</v>
      </c>
      <c r="G106" s="4">
        <v>1.265</v>
      </c>
      <c r="H106">
        <f t="shared" si="4"/>
        <v>11.4003754419813</v>
      </c>
      <c r="I106">
        <f t="shared" si="5"/>
        <v>54.3912424610142</v>
      </c>
      <c r="J106">
        <f t="shared" si="6"/>
        <v>17.9509027</v>
      </c>
      <c r="K106" s="7">
        <f t="shared" si="7"/>
        <v>875.2522</v>
      </c>
      <c r="N106" s="9"/>
    </row>
    <row r="107" ht="14.25" spans="1:14">
      <c r="A107" s="9">
        <v>770</v>
      </c>
      <c r="B107" s="3">
        <v>9.02964355650997</v>
      </c>
      <c r="C107" s="3">
        <v>39.896704353209</v>
      </c>
      <c r="D107" s="3">
        <v>0.178865858</v>
      </c>
      <c r="E107" s="3">
        <v>14.4457608</v>
      </c>
      <c r="F107" s="3">
        <v>87.53085</v>
      </c>
      <c r="G107" s="4">
        <v>1.27863636363636</v>
      </c>
      <c r="H107">
        <f t="shared" si="4"/>
        <v>11.5456306020284</v>
      </c>
      <c r="I107">
        <f t="shared" si="5"/>
        <v>51.0133769752621</v>
      </c>
      <c r="J107">
        <f t="shared" si="6"/>
        <v>17.8865858</v>
      </c>
      <c r="K107" s="7">
        <f t="shared" si="7"/>
        <v>875.3085</v>
      </c>
      <c r="N107" s="9"/>
    </row>
    <row r="108" ht="14.25" spans="1:14">
      <c r="A108" s="9">
        <v>780</v>
      </c>
      <c r="B108" s="3">
        <v>9.04585629825</v>
      </c>
      <c r="C108" s="3">
        <v>36.7190873946</v>
      </c>
      <c r="D108" s="3">
        <v>0.176813907</v>
      </c>
      <c r="E108" s="3">
        <v>14.44848455</v>
      </c>
      <c r="F108" s="3">
        <v>87.53552</v>
      </c>
      <c r="G108" s="4">
        <v>1.305</v>
      </c>
      <c r="H108">
        <f t="shared" si="4"/>
        <v>11.8048424692162</v>
      </c>
      <c r="I108">
        <f t="shared" si="5"/>
        <v>47.918409049953</v>
      </c>
      <c r="J108">
        <f t="shared" si="6"/>
        <v>17.6813907</v>
      </c>
      <c r="K108" s="7">
        <f t="shared" si="7"/>
        <v>875.3552</v>
      </c>
      <c r="N108" s="9"/>
    </row>
    <row r="109" ht="14.25" spans="1:14">
      <c r="A109" s="9">
        <v>790</v>
      </c>
      <c r="B109" s="3">
        <v>9.0659617991245</v>
      </c>
      <c r="C109" s="3">
        <v>34.0577389090635</v>
      </c>
      <c r="D109" s="3">
        <v>0.176156728</v>
      </c>
      <c r="E109" s="3">
        <v>14.44894617</v>
      </c>
      <c r="F109" s="3">
        <v>87.54117</v>
      </c>
      <c r="G109" s="4">
        <v>1.34636363636363</v>
      </c>
      <c r="H109">
        <f t="shared" si="4"/>
        <v>12.206081295003</v>
      </c>
      <c r="I109">
        <f t="shared" si="5"/>
        <v>45.8541012039298</v>
      </c>
      <c r="J109">
        <f t="shared" si="6"/>
        <v>17.6156728</v>
      </c>
      <c r="K109" s="7">
        <f t="shared" si="7"/>
        <v>875.4117</v>
      </c>
      <c r="N109" s="9"/>
    </row>
    <row r="110" ht="14.25" spans="1:14">
      <c r="A110" s="9">
        <v>800</v>
      </c>
      <c r="B110" s="3">
        <v>9.084270361375</v>
      </c>
      <c r="C110" s="3">
        <v>31.3296966675</v>
      </c>
      <c r="D110" s="3">
        <v>0.174056473</v>
      </c>
      <c r="E110" s="3">
        <v>14.44825797</v>
      </c>
      <c r="F110" s="3">
        <v>87.54565</v>
      </c>
      <c r="G110" s="4">
        <v>1.375</v>
      </c>
      <c r="H110">
        <f t="shared" si="4"/>
        <v>12.4908717468906</v>
      </c>
      <c r="I110">
        <f t="shared" si="5"/>
        <v>43.0783329178125</v>
      </c>
      <c r="J110">
        <f t="shared" si="6"/>
        <v>17.4056473</v>
      </c>
      <c r="K110" s="7">
        <f t="shared" si="7"/>
        <v>875.4565</v>
      </c>
      <c r="N110" s="9"/>
    </row>
    <row r="111" ht="14.25" spans="1:14">
      <c r="A111" s="9">
        <v>810</v>
      </c>
      <c r="B111" s="3">
        <v>9.105957211344</v>
      </c>
      <c r="C111" s="3">
        <v>29.05851805136</v>
      </c>
      <c r="D111" s="3">
        <v>0.173375876</v>
      </c>
      <c r="E111" s="3">
        <v>14.44539622</v>
      </c>
      <c r="F111" s="3">
        <v>87.55137</v>
      </c>
      <c r="G111" s="4">
        <v>1.372</v>
      </c>
      <c r="H111">
        <f t="shared" si="4"/>
        <v>12.493373293964</v>
      </c>
      <c r="I111">
        <f t="shared" si="5"/>
        <v>39.8682867664659</v>
      </c>
      <c r="J111">
        <f t="shared" si="6"/>
        <v>17.3375876</v>
      </c>
      <c r="K111" s="7">
        <f t="shared" si="7"/>
        <v>875.5137</v>
      </c>
      <c r="N111" s="9"/>
    </row>
    <row r="112" ht="14.25" spans="1:14">
      <c r="A112" s="9">
        <v>820</v>
      </c>
      <c r="B112" s="3">
        <v>9.125090797095</v>
      </c>
      <c r="C112" s="3">
        <v>26.7308468973</v>
      </c>
      <c r="D112" s="3">
        <v>0.171236598</v>
      </c>
      <c r="E112" s="3">
        <v>14.44168562</v>
      </c>
      <c r="F112" s="3">
        <v>87.55569</v>
      </c>
      <c r="G112" s="4">
        <v>1.365</v>
      </c>
      <c r="H112">
        <f t="shared" si="4"/>
        <v>12.4557489380347</v>
      </c>
      <c r="I112">
        <f t="shared" si="5"/>
        <v>36.4876060148145</v>
      </c>
      <c r="J112">
        <f t="shared" si="6"/>
        <v>17.1236598</v>
      </c>
      <c r="K112" s="7">
        <f t="shared" si="7"/>
        <v>875.5569</v>
      </c>
      <c r="N112" s="9"/>
    </row>
    <row r="113" ht="14.25" spans="1:14">
      <c r="A113" s="9">
        <v>830</v>
      </c>
      <c r="B113" s="3">
        <v>9.14694166921941</v>
      </c>
      <c r="C113" s="3">
        <v>24.8069630023908</v>
      </c>
      <c r="D113" s="3">
        <v>0.170539671</v>
      </c>
      <c r="E113" s="3">
        <v>14.43585721</v>
      </c>
      <c r="F113" s="3">
        <v>87.56163</v>
      </c>
      <c r="G113" s="4">
        <v>1.34936363636363</v>
      </c>
      <c r="H113">
        <f t="shared" si="4"/>
        <v>12.3425504723839</v>
      </c>
      <c r="I113">
        <f t="shared" si="5"/>
        <v>33.4736138040441</v>
      </c>
      <c r="J113">
        <f t="shared" si="6"/>
        <v>17.0539671</v>
      </c>
      <c r="K113" s="7">
        <f t="shared" si="7"/>
        <v>875.6163</v>
      </c>
      <c r="N113" s="9"/>
    </row>
    <row r="114" ht="14.25" spans="1:14">
      <c r="A114" s="9">
        <v>840</v>
      </c>
      <c r="B114" s="3">
        <v>9.165478506425</v>
      </c>
      <c r="C114" s="3">
        <v>22.8349960725</v>
      </c>
      <c r="D114" s="3">
        <v>0.168376932</v>
      </c>
      <c r="E114" s="3">
        <v>14.42950081</v>
      </c>
      <c r="F114" s="3">
        <v>87.56599</v>
      </c>
      <c r="G114" s="4">
        <v>1.325</v>
      </c>
      <c r="H114">
        <f t="shared" si="4"/>
        <v>12.1442590210131</v>
      </c>
      <c r="I114">
        <f t="shared" si="5"/>
        <v>30.2563697960625</v>
      </c>
      <c r="J114">
        <f t="shared" si="6"/>
        <v>16.8376932</v>
      </c>
      <c r="K114" s="7">
        <f t="shared" si="7"/>
        <v>875.6599</v>
      </c>
      <c r="N114" s="9"/>
    </row>
    <row r="115" ht="14.25" spans="1:14">
      <c r="A115" s="9">
        <v>850</v>
      </c>
      <c r="B115" s="3">
        <v>9.18608189135634</v>
      </c>
      <c r="C115" s="3">
        <v>21.2173537154908</v>
      </c>
      <c r="D115" s="3">
        <v>0.167671341</v>
      </c>
      <c r="E115" s="3">
        <v>14.42104763</v>
      </c>
      <c r="F115" s="3">
        <v>87.57262</v>
      </c>
      <c r="G115" s="4">
        <v>1.28363636363636</v>
      </c>
      <c r="H115">
        <f t="shared" si="4"/>
        <v>11.7915887550865</v>
      </c>
      <c r="I115">
        <f t="shared" si="5"/>
        <v>27.2353667693391</v>
      </c>
      <c r="J115">
        <f t="shared" si="6"/>
        <v>16.7671341</v>
      </c>
      <c r="K115" s="7">
        <f t="shared" si="7"/>
        <v>875.7262</v>
      </c>
      <c r="N115" s="9"/>
    </row>
    <row r="116" ht="14.25" spans="1:14">
      <c r="A116" s="9">
        <v>860</v>
      </c>
      <c r="B116" s="3">
        <v>9.215075956275</v>
      </c>
      <c r="C116" s="3">
        <v>19.58743327025</v>
      </c>
      <c r="D116" s="3">
        <v>0.165485489</v>
      </c>
      <c r="E116" s="3">
        <v>14.41251597</v>
      </c>
      <c r="F116" s="3">
        <v>87.57764</v>
      </c>
      <c r="G116" s="4">
        <v>1.255</v>
      </c>
      <c r="H116">
        <f t="shared" si="4"/>
        <v>11.5649203251251</v>
      </c>
      <c r="I116">
        <f t="shared" si="5"/>
        <v>24.5822287541637</v>
      </c>
      <c r="J116">
        <f t="shared" si="6"/>
        <v>16.5485489</v>
      </c>
      <c r="K116" s="7">
        <f t="shared" si="7"/>
        <v>875.7764</v>
      </c>
      <c r="N116" s="9"/>
    </row>
    <row r="117" ht="14.25" spans="1:14">
      <c r="A117" s="9">
        <v>870</v>
      </c>
      <c r="B117" s="3">
        <v>9.254341060335</v>
      </c>
      <c r="C117" s="3">
        <v>17.9348707727</v>
      </c>
      <c r="D117" s="3">
        <v>0.161849084</v>
      </c>
      <c r="E117" s="3">
        <v>14.4044204</v>
      </c>
      <c r="F117" s="3">
        <v>87.57983</v>
      </c>
      <c r="G117" s="4">
        <v>1.295</v>
      </c>
      <c r="H117">
        <f t="shared" si="4"/>
        <v>11.9843716731338</v>
      </c>
      <c r="I117">
        <f t="shared" si="5"/>
        <v>23.2256576506465</v>
      </c>
      <c r="J117">
        <f t="shared" si="6"/>
        <v>16.1849084</v>
      </c>
      <c r="K117" s="7">
        <f t="shared" si="7"/>
        <v>875.7983</v>
      </c>
      <c r="N117" s="9"/>
    </row>
    <row r="118" ht="14.25" spans="1:14">
      <c r="A118" s="9">
        <v>880</v>
      </c>
      <c r="B118" s="3">
        <v>9.283781795445</v>
      </c>
      <c r="C118" s="3">
        <v>16.53018297255</v>
      </c>
      <c r="D118" s="3">
        <v>0.159688958</v>
      </c>
      <c r="E118" s="3">
        <v>14.39423337</v>
      </c>
      <c r="F118" s="3">
        <v>87.58403</v>
      </c>
      <c r="G118" s="4">
        <v>1.335</v>
      </c>
      <c r="H118">
        <f t="shared" si="4"/>
        <v>12.3938486969191</v>
      </c>
      <c r="I118">
        <f t="shared" si="5"/>
        <v>22.0677942683542</v>
      </c>
      <c r="J118">
        <f t="shared" si="6"/>
        <v>15.9688958</v>
      </c>
      <c r="K118" s="7">
        <f t="shared" si="7"/>
        <v>875.8403</v>
      </c>
      <c r="N118" s="9"/>
    </row>
    <row r="119" ht="14.25" spans="1:14">
      <c r="A119" s="9">
        <v>890</v>
      </c>
      <c r="B119" s="3">
        <v>9.30157812527</v>
      </c>
      <c r="C119" s="3">
        <v>15.3695797815</v>
      </c>
      <c r="D119" s="3">
        <v>0.158986234</v>
      </c>
      <c r="E119" s="3">
        <v>14.38149053</v>
      </c>
      <c r="F119" s="3">
        <v>87.59149</v>
      </c>
      <c r="G119" s="4">
        <v>1.31</v>
      </c>
      <c r="H119">
        <f t="shared" si="4"/>
        <v>12.1850673441037</v>
      </c>
      <c r="I119">
        <f t="shared" si="5"/>
        <v>20.134149513765</v>
      </c>
      <c r="J119">
        <f t="shared" si="6"/>
        <v>15.8986234</v>
      </c>
      <c r="K119" s="7">
        <f t="shared" si="7"/>
        <v>875.9149</v>
      </c>
      <c r="N119" s="9"/>
    </row>
    <row r="120" ht="14.25" spans="1:14">
      <c r="A120" s="9">
        <v>900</v>
      </c>
      <c r="B120" s="3">
        <v>9.31601363196</v>
      </c>
      <c r="C120" s="3">
        <v>14.18380421005</v>
      </c>
      <c r="D120" s="3">
        <v>0.156856631</v>
      </c>
      <c r="E120" s="3">
        <v>14.36969569</v>
      </c>
      <c r="F120" s="3">
        <v>87.59439</v>
      </c>
      <c r="G120" s="4">
        <v>1.285</v>
      </c>
      <c r="H120">
        <f t="shared" si="4"/>
        <v>11.9710775170686</v>
      </c>
      <c r="I120">
        <f t="shared" si="5"/>
        <v>18.2261884099142</v>
      </c>
      <c r="J120">
        <f t="shared" si="6"/>
        <v>15.6856631</v>
      </c>
      <c r="K120" s="7">
        <f t="shared" si="7"/>
        <v>875.9439</v>
      </c>
      <c r="N120" s="9"/>
    </row>
    <row r="121" ht="14.25" spans="1:14">
      <c r="A121" s="9">
        <v>910</v>
      </c>
      <c r="B121" s="3">
        <v>9.33287989956</v>
      </c>
      <c r="C121" s="3">
        <v>13.23170095156</v>
      </c>
      <c r="D121" s="3">
        <v>0.156146313</v>
      </c>
      <c r="E121" s="3">
        <v>14.35529199</v>
      </c>
      <c r="F121" s="3">
        <v>87.60166</v>
      </c>
      <c r="G121" s="4">
        <v>1.33</v>
      </c>
      <c r="H121">
        <f t="shared" si="4"/>
        <v>12.4127302664148</v>
      </c>
      <c r="I121">
        <f t="shared" si="5"/>
        <v>17.5981622655748</v>
      </c>
      <c r="J121">
        <f t="shared" si="6"/>
        <v>15.6146313</v>
      </c>
      <c r="K121" s="7">
        <f t="shared" si="7"/>
        <v>876.0166</v>
      </c>
      <c r="N121" s="9"/>
    </row>
    <row r="122" ht="14.25" spans="1:14">
      <c r="A122" s="9">
        <v>920</v>
      </c>
      <c r="B122" s="3">
        <v>9.346552386875</v>
      </c>
      <c r="C122" s="3">
        <v>12.259466088375</v>
      </c>
      <c r="D122" s="3">
        <v>0.154064434</v>
      </c>
      <c r="E122" s="3">
        <v>14.3423193</v>
      </c>
      <c r="F122" s="3">
        <v>87.60363</v>
      </c>
      <c r="G122" s="4">
        <v>1.375</v>
      </c>
      <c r="H122">
        <f t="shared" si="4"/>
        <v>12.8515095319531</v>
      </c>
      <c r="I122">
        <f t="shared" si="5"/>
        <v>16.8567658715156</v>
      </c>
      <c r="J122">
        <f t="shared" si="6"/>
        <v>15.4064434</v>
      </c>
      <c r="K122" s="7">
        <f t="shared" si="7"/>
        <v>876.0363</v>
      </c>
      <c r="N122" s="9"/>
    </row>
    <row r="123" ht="14.25" spans="1:14">
      <c r="A123" s="9">
        <v>930</v>
      </c>
      <c r="B123" s="3">
        <v>9.362688111645</v>
      </c>
      <c r="C123" s="3">
        <v>11.48654068925</v>
      </c>
      <c r="D123" s="3">
        <v>0.153360176</v>
      </c>
      <c r="E123" s="3">
        <v>14.3265239</v>
      </c>
      <c r="F123" s="3">
        <v>87.61105</v>
      </c>
      <c r="G123" s="4">
        <v>1.2925</v>
      </c>
      <c r="H123">
        <f t="shared" si="4"/>
        <v>12.1012743843012</v>
      </c>
      <c r="I123">
        <f t="shared" si="5"/>
        <v>14.8463538408556</v>
      </c>
      <c r="J123">
        <f t="shared" si="6"/>
        <v>15.3360176</v>
      </c>
      <c r="K123" s="7">
        <f t="shared" si="7"/>
        <v>876.1105</v>
      </c>
      <c r="N123" s="9"/>
    </row>
    <row r="124" ht="14.25" spans="1:14">
      <c r="A124" s="9">
        <v>940</v>
      </c>
      <c r="B124" s="3">
        <v>9.37574748077</v>
      </c>
      <c r="C124" s="3">
        <v>10.6965802295</v>
      </c>
      <c r="D124" s="3">
        <v>0.15134422</v>
      </c>
      <c r="E124" s="3">
        <v>14.31267902</v>
      </c>
      <c r="F124" s="3">
        <v>87.6122</v>
      </c>
      <c r="G124" s="4">
        <v>1.21</v>
      </c>
      <c r="H124">
        <f t="shared" si="4"/>
        <v>11.3446544517317</v>
      </c>
      <c r="I124">
        <f t="shared" si="5"/>
        <v>12.942862077695</v>
      </c>
      <c r="J124">
        <f t="shared" si="6"/>
        <v>15.134422</v>
      </c>
      <c r="K124" s="7">
        <f t="shared" si="7"/>
        <v>876.122</v>
      </c>
      <c r="N124" s="9"/>
    </row>
    <row r="125" ht="14.25" spans="1:14">
      <c r="A125" s="9">
        <v>950</v>
      </c>
      <c r="B125" s="3">
        <v>9.3911524991625</v>
      </c>
      <c r="C125" s="3">
        <v>10.0757206036875</v>
      </c>
      <c r="D125" s="3">
        <v>0.15065183</v>
      </c>
      <c r="E125" s="3">
        <v>14.29574662</v>
      </c>
      <c r="F125" s="3">
        <v>87.61986</v>
      </c>
      <c r="G125" s="4">
        <v>1.2625</v>
      </c>
      <c r="H125">
        <f t="shared" si="4"/>
        <v>11.8563300301927</v>
      </c>
      <c r="I125">
        <f t="shared" si="5"/>
        <v>12.7205972621555</v>
      </c>
      <c r="J125">
        <f t="shared" si="6"/>
        <v>15.065183</v>
      </c>
      <c r="K125" s="7">
        <f t="shared" si="7"/>
        <v>876.1986</v>
      </c>
      <c r="N125" s="9"/>
    </row>
    <row r="126" ht="14.25" spans="1:14">
      <c r="A126" s="9">
        <v>960</v>
      </c>
      <c r="B126" s="3">
        <v>9.40347680032</v>
      </c>
      <c r="C126" s="3">
        <v>9.439763671705</v>
      </c>
      <c r="D126" s="3">
        <v>0.148720272</v>
      </c>
      <c r="E126" s="3">
        <v>14.2812974</v>
      </c>
      <c r="F126" s="3">
        <v>87.62016</v>
      </c>
      <c r="G126" s="4">
        <v>1.315</v>
      </c>
      <c r="H126">
        <f t="shared" si="4"/>
        <v>12.3655719924208</v>
      </c>
      <c r="I126">
        <f t="shared" si="5"/>
        <v>12.4132892282921</v>
      </c>
      <c r="J126">
        <f t="shared" si="6"/>
        <v>14.8720272</v>
      </c>
      <c r="K126" s="7">
        <f t="shared" si="7"/>
        <v>876.2016</v>
      </c>
      <c r="N126" s="9"/>
    </row>
    <row r="127" ht="14.25" spans="1:14">
      <c r="A127" s="9">
        <v>970</v>
      </c>
      <c r="B127" s="3">
        <v>9.41787564383071</v>
      </c>
      <c r="C127" s="3">
        <v>8.94670613084763</v>
      </c>
      <c r="D127" s="3">
        <v>0.148044661</v>
      </c>
      <c r="E127" s="3">
        <v>14.26346065</v>
      </c>
      <c r="F127" s="3">
        <v>87.62799</v>
      </c>
      <c r="G127" s="4">
        <v>1.30846153846153</v>
      </c>
      <c r="H127">
        <f t="shared" si="4"/>
        <v>12.3229280539661</v>
      </c>
      <c r="I127">
        <f t="shared" si="5"/>
        <v>11.7064208681321</v>
      </c>
      <c r="J127">
        <f t="shared" si="6"/>
        <v>14.8044661</v>
      </c>
      <c r="K127" s="7">
        <f t="shared" si="7"/>
        <v>876.2799</v>
      </c>
      <c r="N127" s="9"/>
    </row>
    <row r="128" ht="14.25" spans="1:14">
      <c r="A128" s="9">
        <v>980</v>
      </c>
      <c r="B128" s="3">
        <v>9.429028059955</v>
      </c>
      <c r="C128" s="3">
        <v>8.439476420655</v>
      </c>
      <c r="D128" s="3">
        <v>0.146208944</v>
      </c>
      <c r="E128" s="3">
        <v>14.24864514</v>
      </c>
      <c r="F128" s="3">
        <v>87.62723</v>
      </c>
      <c r="G128" s="4">
        <v>1.295</v>
      </c>
      <c r="H128">
        <f t="shared" si="4"/>
        <v>12.2105913376417</v>
      </c>
      <c r="I128">
        <f t="shared" si="5"/>
        <v>10.9291219647482</v>
      </c>
      <c r="J128">
        <f t="shared" si="6"/>
        <v>14.6208944</v>
      </c>
      <c r="K128" s="7">
        <f t="shared" si="7"/>
        <v>876.2723</v>
      </c>
      <c r="N128" s="9"/>
    </row>
    <row r="129" ht="14.25" spans="1:14">
      <c r="A129" s="9">
        <v>990</v>
      </c>
      <c r="B129" s="3">
        <v>9.44176605513807</v>
      </c>
      <c r="C129" s="3">
        <v>8.05282922554114</v>
      </c>
      <c r="D129" s="3">
        <v>0.14555745</v>
      </c>
      <c r="E129" s="3">
        <v>14.23010375</v>
      </c>
      <c r="F129" s="3">
        <v>87.63485</v>
      </c>
      <c r="G129" s="4">
        <v>1.26903846153846</v>
      </c>
      <c r="H129">
        <f t="shared" si="4"/>
        <v>11.9819642688185</v>
      </c>
      <c r="I129">
        <f t="shared" si="5"/>
        <v>10.2193500114127</v>
      </c>
      <c r="J129">
        <f t="shared" si="6"/>
        <v>14.555745</v>
      </c>
      <c r="K129" s="7">
        <f t="shared" si="7"/>
        <v>876.3485</v>
      </c>
      <c r="N129" s="9"/>
    </row>
    <row r="130" ht="14.25" spans="1:14">
      <c r="A130" s="9">
        <v>1000</v>
      </c>
      <c r="B130" s="3">
        <v>9.45114132875</v>
      </c>
      <c r="C130" s="3">
        <v>7.65213704375</v>
      </c>
      <c r="D130" s="3">
        <v>0.14382018</v>
      </c>
      <c r="E130" s="3">
        <v>14.21513882</v>
      </c>
      <c r="F130" s="3">
        <v>87.63219</v>
      </c>
      <c r="G130" s="4">
        <v>1.25</v>
      </c>
      <c r="H130">
        <f t="shared" ref="H130:H180" si="8">B130*G130</f>
        <v>11.8139266609375</v>
      </c>
      <c r="I130">
        <f t="shared" ref="I130:I180" si="9">C130*G130</f>
        <v>9.5651713046875</v>
      </c>
      <c r="J130">
        <f t="shared" ref="J130:J180" si="10">D130*100</f>
        <v>14.382018</v>
      </c>
      <c r="K130" s="7">
        <f t="shared" si="7"/>
        <v>876.3219</v>
      </c>
      <c r="N130" s="9"/>
    </row>
    <row r="131" ht="14.25" spans="1:14">
      <c r="A131" s="9">
        <v>1020</v>
      </c>
      <c r="B131" s="3">
        <v>9.4732442493</v>
      </c>
      <c r="C131" s="3">
        <v>7.1573501181</v>
      </c>
      <c r="D131" s="3">
        <v>0.143632639</v>
      </c>
      <c r="E131" s="3">
        <v>14.17270642</v>
      </c>
      <c r="F131" s="3">
        <v>87.65322</v>
      </c>
      <c r="G131" s="4">
        <v>1.3</v>
      </c>
      <c r="H131">
        <f t="shared" si="8"/>
        <v>12.31521752409</v>
      </c>
      <c r="I131">
        <f t="shared" si="9"/>
        <v>9.30455515353</v>
      </c>
      <c r="J131">
        <f t="shared" si="10"/>
        <v>14.3632639</v>
      </c>
      <c r="K131" s="7">
        <f t="shared" ref="K131:K194" si="11">F131*10</f>
        <v>876.5322</v>
      </c>
      <c r="N131" s="9"/>
    </row>
    <row r="132" ht="14.25" spans="1:14">
      <c r="A132" s="9">
        <v>1040</v>
      </c>
      <c r="B132" s="3">
        <v>9.48064699279</v>
      </c>
      <c r="C132" s="3">
        <v>6.59892868864</v>
      </c>
      <c r="D132" s="3">
        <v>0.139483659</v>
      </c>
      <c r="E132" s="3">
        <v>14.1468561</v>
      </c>
      <c r="F132" s="3">
        <v>87.64054</v>
      </c>
      <c r="G132" s="4">
        <v>1.31</v>
      </c>
      <c r="H132">
        <f t="shared" si="8"/>
        <v>12.4196475605549</v>
      </c>
      <c r="I132">
        <f t="shared" si="9"/>
        <v>8.6445965821184</v>
      </c>
      <c r="J132">
        <f t="shared" si="10"/>
        <v>13.9483659</v>
      </c>
      <c r="K132" s="7">
        <f t="shared" si="11"/>
        <v>876.4054</v>
      </c>
      <c r="N132" s="9"/>
    </row>
    <row r="133" ht="14.25" spans="1:14">
      <c r="A133" s="9">
        <v>1060</v>
      </c>
      <c r="B133" s="3">
        <v>9.49315512448</v>
      </c>
      <c r="C133" s="3">
        <v>6.33648584192</v>
      </c>
      <c r="D133" s="3">
        <v>0.139282385</v>
      </c>
      <c r="E133" s="3">
        <v>14.10221036</v>
      </c>
      <c r="F133" s="3">
        <v>87.66323</v>
      </c>
      <c r="G133" s="4">
        <v>1.28</v>
      </c>
      <c r="H133">
        <f t="shared" si="8"/>
        <v>12.1512385593344</v>
      </c>
      <c r="I133">
        <f t="shared" si="9"/>
        <v>8.1107018776576</v>
      </c>
      <c r="J133">
        <f t="shared" si="10"/>
        <v>13.9282385</v>
      </c>
      <c r="K133" s="7">
        <f t="shared" si="11"/>
        <v>876.6323</v>
      </c>
      <c r="N133" s="9"/>
    </row>
    <row r="134" ht="14.25" spans="1:14">
      <c r="A134" s="9">
        <v>1080</v>
      </c>
      <c r="B134" s="3">
        <v>9.491514894645</v>
      </c>
      <c r="C134" s="3">
        <v>6.001913100645</v>
      </c>
      <c r="D134" s="3">
        <v>0.135650508</v>
      </c>
      <c r="E134" s="3">
        <v>14.07798132</v>
      </c>
      <c r="F134" s="3">
        <v>87.64579</v>
      </c>
      <c r="G134" s="4">
        <v>1.295</v>
      </c>
      <c r="H134">
        <f t="shared" si="8"/>
        <v>12.2915117885653</v>
      </c>
      <c r="I134">
        <f t="shared" si="9"/>
        <v>7.77247746533527</v>
      </c>
      <c r="J134">
        <f t="shared" si="10"/>
        <v>13.5650508</v>
      </c>
      <c r="K134" s="7">
        <f t="shared" si="11"/>
        <v>876.4579</v>
      </c>
      <c r="N134" s="9"/>
    </row>
    <row r="135" ht="14.25" spans="1:14">
      <c r="A135" s="9">
        <v>1100</v>
      </c>
      <c r="B135" s="3">
        <v>9.49403330496</v>
      </c>
      <c r="C135" s="3">
        <v>5.88875019984</v>
      </c>
      <c r="D135" s="3">
        <v>0.135438654</v>
      </c>
      <c r="E135" s="3">
        <v>14.03204277</v>
      </c>
      <c r="F135" s="3">
        <v>87.66878</v>
      </c>
      <c r="G135" s="4">
        <v>1.44</v>
      </c>
      <c r="H135">
        <f t="shared" si="8"/>
        <v>13.6714079591424</v>
      </c>
      <c r="I135">
        <f t="shared" si="9"/>
        <v>8.4798002877696</v>
      </c>
      <c r="J135">
        <f t="shared" si="10"/>
        <v>13.5438654</v>
      </c>
      <c r="K135" s="7">
        <f t="shared" si="11"/>
        <v>876.6878</v>
      </c>
      <c r="N135" s="9"/>
    </row>
    <row r="136" ht="14.25" spans="1:14">
      <c r="A136" s="9">
        <v>1120</v>
      </c>
      <c r="B136" s="3">
        <v>9.48187221492</v>
      </c>
      <c r="C136" s="3">
        <v>5.696351933595</v>
      </c>
      <c r="D136" s="3">
        <v>0.132222105</v>
      </c>
      <c r="E136" s="3">
        <v>14.00993266</v>
      </c>
      <c r="F136" s="3">
        <v>87.64717</v>
      </c>
      <c r="G136" s="4">
        <v>1.515</v>
      </c>
      <c r="H136">
        <f t="shared" si="8"/>
        <v>14.3650364056038</v>
      </c>
      <c r="I136">
        <f t="shared" si="9"/>
        <v>8.62997317939642</v>
      </c>
      <c r="J136">
        <f t="shared" si="10"/>
        <v>13.2222105</v>
      </c>
      <c r="K136" s="7">
        <f t="shared" si="11"/>
        <v>876.4717</v>
      </c>
      <c r="N136" s="9"/>
    </row>
    <row r="137" ht="14.25" spans="1:14">
      <c r="A137" s="9">
        <v>1140</v>
      </c>
      <c r="B137" s="3">
        <v>9.473215010585</v>
      </c>
      <c r="C137" s="3">
        <v>5.67701317587</v>
      </c>
      <c r="D137" s="3">
        <v>0.132001461</v>
      </c>
      <c r="E137" s="3">
        <v>13.96334713</v>
      </c>
      <c r="F137" s="3">
        <v>87.67016</v>
      </c>
      <c r="G137" s="4">
        <v>1.465</v>
      </c>
      <c r="H137">
        <f t="shared" si="8"/>
        <v>13.878259990507</v>
      </c>
      <c r="I137">
        <f t="shared" si="9"/>
        <v>8.31682430264955</v>
      </c>
      <c r="J137">
        <f t="shared" si="10"/>
        <v>13.2001461</v>
      </c>
      <c r="K137" s="7">
        <f t="shared" si="11"/>
        <v>876.7016</v>
      </c>
      <c r="N137" s="9"/>
    </row>
    <row r="138" ht="14.25" spans="1:14">
      <c r="A138" s="9">
        <v>1160</v>
      </c>
      <c r="B138" s="3">
        <v>9.45267909978</v>
      </c>
      <c r="C138" s="3">
        <v>5.57246236412</v>
      </c>
      <c r="D138" s="3">
        <v>0.129089185</v>
      </c>
      <c r="E138" s="3">
        <v>13.9436034</v>
      </c>
      <c r="F138" s="3">
        <v>87.64592</v>
      </c>
      <c r="G138" s="4">
        <v>1.58</v>
      </c>
      <c r="H138">
        <f t="shared" si="8"/>
        <v>14.9352329776524</v>
      </c>
      <c r="I138">
        <f t="shared" si="9"/>
        <v>8.8044905353096</v>
      </c>
      <c r="J138">
        <f t="shared" si="10"/>
        <v>12.9089185</v>
      </c>
      <c r="K138" s="7">
        <f t="shared" si="11"/>
        <v>876.4592</v>
      </c>
      <c r="N138" s="9"/>
    </row>
    <row r="139" ht="14.25" spans="1:14">
      <c r="A139" s="9">
        <v>1180</v>
      </c>
      <c r="B139" s="3">
        <v>9.43934125172</v>
      </c>
      <c r="C139" s="3">
        <v>5.61101435597</v>
      </c>
      <c r="D139" s="3">
        <v>0.128860868</v>
      </c>
      <c r="E139" s="3">
        <v>13.89673226</v>
      </c>
      <c r="F139" s="3">
        <v>87.66953</v>
      </c>
      <c r="G139" s="4">
        <v>1.51</v>
      </c>
      <c r="H139">
        <f t="shared" si="8"/>
        <v>14.2534052900972</v>
      </c>
      <c r="I139">
        <f t="shared" si="9"/>
        <v>8.4726316775147</v>
      </c>
      <c r="J139">
        <f t="shared" si="10"/>
        <v>12.8860868</v>
      </c>
      <c r="K139" s="7">
        <f t="shared" si="11"/>
        <v>876.6953</v>
      </c>
      <c r="N139" s="9"/>
    </row>
    <row r="140" ht="14.25" spans="1:14">
      <c r="A140" s="9">
        <v>1200</v>
      </c>
      <c r="B140" s="3">
        <v>9.421537542775</v>
      </c>
      <c r="C140" s="3">
        <v>5.558557570275</v>
      </c>
      <c r="D140" s="3">
        <v>0.126136027</v>
      </c>
      <c r="E140" s="3">
        <v>13.8793688</v>
      </c>
      <c r="F140" s="3">
        <v>87.64512</v>
      </c>
      <c r="G140" s="4">
        <v>1.675</v>
      </c>
      <c r="H140">
        <f t="shared" si="8"/>
        <v>15.7810753841481</v>
      </c>
      <c r="I140">
        <f t="shared" si="9"/>
        <v>9.31058393021063</v>
      </c>
      <c r="J140">
        <f t="shared" si="10"/>
        <v>12.6136027</v>
      </c>
      <c r="K140" s="7">
        <f t="shared" si="11"/>
        <v>876.4512</v>
      </c>
      <c r="N140" s="9"/>
    </row>
    <row r="141" ht="14.25" spans="1:14">
      <c r="A141" s="9">
        <v>1220</v>
      </c>
      <c r="B141" s="3">
        <v>9.42077522994</v>
      </c>
      <c r="C141" s="3">
        <v>5.631880954235</v>
      </c>
      <c r="D141" s="3">
        <v>0.125894838</v>
      </c>
      <c r="E141" s="3">
        <v>13.83224627</v>
      </c>
      <c r="F141" s="3">
        <v>87.66958</v>
      </c>
      <c r="G141" s="4">
        <v>1.615</v>
      </c>
      <c r="H141">
        <f t="shared" si="8"/>
        <v>15.2145519963531</v>
      </c>
      <c r="I141">
        <f t="shared" si="9"/>
        <v>9.09548774108952</v>
      </c>
      <c r="J141">
        <f t="shared" si="10"/>
        <v>12.5894838</v>
      </c>
      <c r="K141" s="7">
        <f t="shared" si="11"/>
        <v>876.6958</v>
      </c>
      <c r="N141" s="9"/>
    </row>
    <row r="142" ht="14.25" spans="1:14">
      <c r="A142" s="9">
        <v>1240</v>
      </c>
      <c r="B142" s="3">
        <v>9.42827404158</v>
      </c>
      <c r="C142" s="3">
        <v>5.60645650476</v>
      </c>
      <c r="D142" s="3">
        <v>0.123230933</v>
      </c>
      <c r="E142" s="3">
        <v>13.81704661</v>
      </c>
      <c r="F142" s="3">
        <v>87.64324</v>
      </c>
      <c r="G142" s="4">
        <v>1.665</v>
      </c>
      <c r="H142">
        <f t="shared" si="8"/>
        <v>15.6980762792307</v>
      </c>
      <c r="I142">
        <f t="shared" si="9"/>
        <v>9.3347500804254</v>
      </c>
      <c r="J142">
        <f t="shared" si="10"/>
        <v>12.3230933</v>
      </c>
      <c r="K142" s="7">
        <f t="shared" si="11"/>
        <v>876.4324</v>
      </c>
      <c r="N142" s="9"/>
    </row>
    <row r="143" ht="14.25" spans="1:14">
      <c r="A143" s="9">
        <v>1260</v>
      </c>
      <c r="B143" s="3">
        <v>9.4030143341</v>
      </c>
      <c r="C143" s="3">
        <v>5.66037081492</v>
      </c>
      <c r="D143" s="3">
        <v>0.122972943</v>
      </c>
      <c r="E143" s="3">
        <v>13.76897905</v>
      </c>
      <c r="F143" s="3">
        <v>87.64086</v>
      </c>
      <c r="G143" s="4">
        <v>1.58</v>
      </c>
      <c r="H143">
        <f t="shared" si="8"/>
        <v>14.856762647878</v>
      </c>
      <c r="I143">
        <f t="shared" si="9"/>
        <v>8.9433858875736</v>
      </c>
      <c r="J143">
        <f t="shared" si="10"/>
        <v>12.2972943</v>
      </c>
      <c r="K143" s="7">
        <f t="shared" si="11"/>
        <v>876.4086</v>
      </c>
      <c r="N143" s="9"/>
    </row>
    <row r="144" ht="14.25" spans="1:14">
      <c r="A144" s="9">
        <v>1280</v>
      </c>
      <c r="B144" s="3">
        <v>9.33775475353</v>
      </c>
      <c r="C144" s="3">
        <v>5.78702011391</v>
      </c>
      <c r="D144" s="3">
        <v>0.12515791</v>
      </c>
      <c r="E144" s="3">
        <v>13.68905111</v>
      </c>
      <c r="F144" s="3">
        <v>87.66161</v>
      </c>
      <c r="G144" s="4">
        <v>1.61</v>
      </c>
      <c r="H144">
        <f t="shared" si="8"/>
        <v>15.0337851531833</v>
      </c>
      <c r="I144">
        <f t="shared" si="9"/>
        <v>9.3171023833951</v>
      </c>
      <c r="J144">
        <f t="shared" si="10"/>
        <v>12.515791</v>
      </c>
      <c r="K144" s="7">
        <f t="shared" si="11"/>
        <v>876.6161</v>
      </c>
      <c r="N144" s="9"/>
    </row>
    <row r="145" ht="14.25" spans="1:14">
      <c r="A145" s="9">
        <v>1300</v>
      </c>
      <c r="B145" s="3">
        <v>9.26718762508</v>
      </c>
      <c r="C145" s="3">
        <v>5.79081844572</v>
      </c>
      <c r="D145" s="3">
        <v>0.12490781</v>
      </c>
      <c r="E145" s="3">
        <v>13.64281398</v>
      </c>
      <c r="F145" s="3">
        <v>87.63136</v>
      </c>
      <c r="G145" s="4">
        <v>1.54</v>
      </c>
      <c r="H145">
        <f t="shared" si="8"/>
        <v>14.2714689426232</v>
      </c>
      <c r="I145">
        <f t="shared" si="9"/>
        <v>8.9178604064088</v>
      </c>
      <c r="J145">
        <f t="shared" si="10"/>
        <v>12.490781</v>
      </c>
      <c r="K145" s="7">
        <f t="shared" si="11"/>
        <v>876.3136</v>
      </c>
      <c r="N145" s="9"/>
    </row>
    <row r="146" ht="14.25" spans="1:14">
      <c r="A146" s="9">
        <v>1320</v>
      </c>
      <c r="B146" s="3">
        <v>9.19733073344</v>
      </c>
      <c r="C146" s="3">
        <v>5.8946139684</v>
      </c>
      <c r="D146" s="3">
        <v>0.127132214</v>
      </c>
      <c r="E146" s="3">
        <v>13.56683889</v>
      </c>
      <c r="F146" s="3">
        <v>87.65133</v>
      </c>
      <c r="G146" s="4">
        <v>1.64</v>
      </c>
      <c r="H146">
        <f t="shared" si="8"/>
        <v>15.0836224028416</v>
      </c>
      <c r="I146">
        <f t="shared" si="9"/>
        <v>9.667166908176</v>
      </c>
      <c r="J146">
        <f t="shared" si="10"/>
        <v>12.7132214</v>
      </c>
      <c r="K146" s="7">
        <f t="shared" si="11"/>
        <v>876.5133</v>
      </c>
      <c r="N146" s="9"/>
    </row>
    <row r="147" ht="14.25" spans="1:14">
      <c r="A147" s="9">
        <v>1340</v>
      </c>
      <c r="B147" s="3">
        <v>9.147368568</v>
      </c>
      <c r="C147" s="3">
        <v>5.89629790308</v>
      </c>
      <c r="D147" s="3">
        <v>0.126872333</v>
      </c>
      <c r="E147" s="3">
        <v>13.52321446</v>
      </c>
      <c r="F147" s="3">
        <v>87.64712</v>
      </c>
      <c r="G147" s="4">
        <v>1.56</v>
      </c>
      <c r="H147">
        <f t="shared" si="8"/>
        <v>14.26989496608</v>
      </c>
      <c r="I147">
        <f t="shared" si="9"/>
        <v>9.1982247288048</v>
      </c>
      <c r="J147">
        <f t="shared" si="10"/>
        <v>12.6872333</v>
      </c>
      <c r="K147" s="7">
        <f t="shared" si="11"/>
        <v>876.4712</v>
      </c>
      <c r="N147" s="9"/>
    </row>
    <row r="148" ht="14.25" spans="1:14">
      <c r="A148" s="9">
        <v>1360</v>
      </c>
      <c r="B148" s="3">
        <v>9.107067802625</v>
      </c>
      <c r="C148" s="3">
        <v>5.7960403345</v>
      </c>
      <c r="D148" s="3">
        <v>0.124133127</v>
      </c>
      <c r="E148" s="3">
        <v>13.51115391</v>
      </c>
      <c r="F148" s="3">
        <v>87.61863</v>
      </c>
      <c r="G148" s="4">
        <v>1.625</v>
      </c>
      <c r="H148">
        <f t="shared" si="8"/>
        <v>14.7989851792656</v>
      </c>
      <c r="I148">
        <f t="shared" si="9"/>
        <v>9.4185655435625</v>
      </c>
      <c r="J148">
        <f t="shared" si="10"/>
        <v>12.4133127</v>
      </c>
      <c r="K148" s="7">
        <f t="shared" si="11"/>
        <v>876.1863</v>
      </c>
      <c r="N148" s="9"/>
    </row>
    <row r="149" ht="14.25" spans="1:14">
      <c r="A149" s="9">
        <v>1380</v>
      </c>
      <c r="B149" s="3">
        <v>9.05369359328</v>
      </c>
      <c r="C149" s="3">
        <v>5.79406425304</v>
      </c>
      <c r="D149" s="3">
        <v>0.123845163</v>
      </c>
      <c r="E149" s="3">
        <v>13.46758814</v>
      </c>
      <c r="F149" s="3">
        <v>87.64012</v>
      </c>
      <c r="G149" s="4">
        <v>1.52</v>
      </c>
      <c r="H149">
        <f t="shared" si="8"/>
        <v>13.7616142617856</v>
      </c>
      <c r="I149">
        <f t="shared" si="9"/>
        <v>8.8069776646208</v>
      </c>
      <c r="J149">
        <f t="shared" si="10"/>
        <v>12.3845163</v>
      </c>
      <c r="K149" s="7">
        <f t="shared" si="11"/>
        <v>876.4012</v>
      </c>
      <c r="N149" s="9"/>
    </row>
    <row r="150" ht="14.25" spans="1:14">
      <c r="A150" s="9">
        <v>1400</v>
      </c>
      <c r="B150" s="3">
        <v>8.99753228754</v>
      </c>
      <c r="C150" s="3">
        <v>5.659725800505</v>
      </c>
      <c r="D150" s="3">
        <v>0.121049833</v>
      </c>
      <c r="E150" s="3">
        <v>13.45737509</v>
      </c>
      <c r="F150" s="3">
        <v>87.61515</v>
      </c>
      <c r="G150" s="4">
        <v>1.455</v>
      </c>
      <c r="H150">
        <f t="shared" si="8"/>
        <v>13.0914094783707</v>
      </c>
      <c r="I150">
        <f t="shared" si="9"/>
        <v>8.23490103973478</v>
      </c>
      <c r="J150">
        <f t="shared" si="10"/>
        <v>12.1049833</v>
      </c>
      <c r="K150" s="7">
        <f t="shared" si="11"/>
        <v>876.1515</v>
      </c>
      <c r="N150" s="9"/>
    </row>
    <row r="151" ht="14.25" spans="1:14">
      <c r="A151" s="9">
        <v>1420</v>
      </c>
      <c r="B151" s="3">
        <v>8.96247362058</v>
      </c>
      <c r="C151" s="3">
        <v>5.62918424649</v>
      </c>
      <c r="D151" s="3">
        <v>0.120706479</v>
      </c>
      <c r="E151" s="3">
        <v>13.41253706</v>
      </c>
      <c r="F151" s="3">
        <v>87.63543</v>
      </c>
      <c r="G151" s="4">
        <v>1.515</v>
      </c>
      <c r="H151">
        <f t="shared" si="8"/>
        <v>13.5781475351787</v>
      </c>
      <c r="I151">
        <f t="shared" si="9"/>
        <v>8.52821413343235</v>
      </c>
      <c r="J151">
        <f t="shared" si="10"/>
        <v>12.0706479</v>
      </c>
      <c r="K151" s="7">
        <f t="shared" si="11"/>
        <v>876.3543</v>
      </c>
      <c r="N151" s="9"/>
    </row>
    <row r="152" ht="14.25" spans="1:14">
      <c r="A152" s="9">
        <v>1440</v>
      </c>
      <c r="B152" s="3">
        <v>8.945635914765</v>
      </c>
      <c r="C152" s="3">
        <v>5.46545085471</v>
      </c>
      <c r="D152" s="3">
        <v>0.117582332</v>
      </c>
      <c r="E152" s="3">
        <v>13.40243378</v>
      </c>
      <c r="F152" s="3">
        <v>87.6138</v>
      </c>
      <c r="G152" s="4">
        <v>1.485</v>
      </c>
      <c r="H152">
        <f t="shared" si="8"/>
        <v>13.284269333426</v>
      </c>
      <c r="I152">
        <f t="shared" si="9"/>
        <v>8.11619451924435</v>
      </c>
      <c r="J152">
        <f t="shared" si="10"/>
        <v>11.7582332</v>
      </c>
      <c r="K152" s="7">
        <f t="shared" si="11"/>
        <v>876.138</v>
      </c>
      <c r="N152" s="9"/>
    </row>
    <row r="153" ht="14.25" spans="1:14">
      <c r="A153" s="9">
        <v>1460</v>
      </c>
      <c r="B153" s="3">
        <v>8.93543630902</v>
      </c>
      <c r="C153" s="3">
        <v>5.36059974648</v>
      </c>
      <c r="D153" s="3">
        <v>0.117111531</v>
      </c>
      <c r="E153" s="3">
        <v>13.35335412</v>
      </c>
      <c r="F153" s="3">
        <v>87.61387</v>
      </c>
      <c r="G153" s="4">
        <v>1.42</v>
      </c>
      <c r="H153">
        <f t="shared" si="8"/>
        <v>12.6883195588084</v>
      </c>
      <c r="I153">
        <f t="shared" si="9"/>
        <v>7.6120516400016</v>
      </c>
      <c r="J153">
        <f t="shared" si="10"/>
        <v>11.7111531</v>
      </c>
      <c r="K153" s="7">
        <f t="shared" si="11"/>
        <v>876.1387</v>
      </c>
      <c r="N153" s="9"/>
    </row>
    <row r="154" ht="14.25" spans="1:14">
      <c r="A154" s="9">
        <v>1480</v>
      </c>
      <c r="B154" s="3">
        <v>8.90011999162</v>
      </c>
      <c r="C154" s="3">
        <v>5.2835422065</v>
      </c>
      <c r="D154" s="3">
        <v>0.119570181</v>
      </c>
      <c r="E154" s="3">
        <v>13.26713232</v>
      </c>
      <c r="F154" s="3">
        <v>87.61082</v>
      </c>
      <c r="G154" s="4">
        <v>1.46</v>
      </c>
      <c r="H154">
        <f t="shared" si="8"/>
        <v>12.9941751877652</v>
      </c>
      <c r="I154">
        <f t="shared" si="9"/>
        <v>7.71397162149</v>
      </c>
      <c r="J154">
        <f t="shared" si="10"/>
        <v>11.9570181</v>
      </c>
      <c r="K154" s="7">
        <f t="shared" si="11"/>
        <v>876.1082</v>
      </c>
      <c r="N154" s="9"/>
    </row>
    <row r="155" ht="14.25" spans="1:14">
      <c r="A155" s="9">
        <v>1500</v>
      </c>
      <c r="B155" s="3">
        <v>8.884020003</v>
      </c>
      <c r="C155" s="3">
        <v>5.268566223</v>
      </c>
      <c r="D155" s="3">
        <v>0.124191091</v>
      </c>
      <c r="E155" s="3">
        <v>13.14410846</v>
      </c>
      <c r="F155" s="3">
        <v>87.63652</v>
      </c>
      <c r="G155" s="4">
        <v>1.5</v>
      </c>
      <c r="H155">
        <f t="shared" si="8"/>
        <v>13.3260300045</v>
      </c>
      <c r="I155">
        <f t="shared" si="9"/>
        <v>7.9028493345</v>
      </c>
      <c r="J155">
        <f t="shared" si="10"/>
        <v>12.4191091</v>
      </c>
      <c r="K155" s="7">
        <f t="shared" si="11"/>
        <v>876.3652</v>
      </c>
      <c r="N155" s="9"/>
    </row>
    <row r="156" ht="14.25" spans="1:14">
      <c r="A156" s="9">
        <v>1520</v>
      </c>
      <c r="B156" s="3">
        <v>8.893587216235</v>
      </c>
      <c r="C156" s="3">
        <v>5.155660894785</v>
      </c>
      <c r="D156" s="3">
        <v>0.126384261</v>
      </c>
      <c r="E156" s="3">
        <v>13.0558623</v>
      </c>
      <c r="F156" s="3">
        <v>87.61499</v>
      </c>
      <c r="G156" s="4">
        <v>1.385</v>
      </c>
      <c r="H156">
        <f t="shared" si="8"/>
        <v>12.3176182944855</v>
      </c>
      <c r="I156">
        <f t="shared" si="9"/>
        <v>7.14059033927723</v>
      </c>
      <c r="J156">
        <f t="shared" si="10"/>
        <v>12.6384261</v>
      </c>
      <c r="K156" s="7">
        <f t="shared" si="11"/>
        <v>876.1499</v>
      </c>
      <c r="N156" s="9"/>
    </row>
    <row r="157" ht="14.25" spans="1:14">
      <c r="A157" s="9">
        <v>1540</v>
      </c>
      <c r="B157" s="3">
        <v>8.922660818645</v>
      </c>
      <c r="C157" s="3">
        <v>5.15655806975</v>
      </c>
      <c r="D157" s="3">
        <v>0.131396939</v>
      </c>
      <c r="E157" s="3">
        <v>12.94216364</v>
      </c>
      <c r="F157" s="3">
        <v>87.6398</v>
      </c>
      <c r="G157" s="4">
        <v>1.415</v>
      </c>
      <c r="H157">
        <f t="shared" si="8"/>
        <v>12.6255650583827</v>
      </c>
      <c r="I157">
        <f t="shared" si="9"/>
        <v>7.29652966869625</v>
      </c>
      <c r="J157">
        <f t="shared" si="10"/>
        <v>13.1396939</v>
      </c>
      <c r="K157" s="7">
        <f t="shared" si="11"/>
        <v>876.398</v>
      </c>
      <c r="N157" s="9"/>
    </row>
    <row r="158" ht="14.25" spans="1:14">
      <c r="A158" s="9">
        <v>1560</v>
      </c>
      <c r="B158" s="3">
        <v>8.94356992844</v>
      </c>
      <c r="C158" s="3">
        <v>5.05357557572</v>
      </c>
      <c r="D158" s="3">
        <v>0.134112823</v>
      </c>
      <c r="E158" s="3">
        <v>12.8597162</v>
      </c>
      <c r="F158" s="3">
        <v>87.62139</v>
      </c>
      <c r="G158" s="4">
        <v>1.33</v>
      </c>
      <c r="H158">
        <f t="shared" si="8"/>
        <v>11.8949480048252</v>
      </c>
      <c r="I158">
        <f t="shared" si="9"/>
        <v>6.7212555157076</v>
      </c>
      <c r="J158">
        <f t="shared" si="10"/>
        <v>13.4112823</v>
      </c>
      <c r="K158" s="7">
        <f t="shared" si="11"/>
        <v>876.2139</v>
      </c>
      <c r="N158" s="9"/>
    </row>
    <row r="159" ht="14.25" spans="1:14">
      <c r="A159" s="9">
        <v>1580</v>
      </c>
      <c r="B159" s="3">
        <v>8.96325868095</v>
      </c>
      <c r="C159" s="3">
        <v>5.09229293979</v>
      </c>
      <c r="D159" s="3">
        <v>0.140889894</v>
      </c>
      <c r="E159" s="3">
        <v>12.76136605</v>
      </c>
      <c r="F159" s="3">
        <v>87.64463</v>
      </c>
      <c r="G159" s="4">
        <v>1.47</v>
      </c>
      <c r="H159">
        <f t="shared" si="8"/>
        <v>13.1759902609965</v>
      </c>
      <c r="I159">
        <f t="shared" si="9"/>
        <v>7.4856706214913</v>
      </c>
      <c r="J159">
        <f t="shared" si="10"/>
        <v>14.0889894</v>
      </c>
      <c r="K159" s="7">
        <f t="shared" si="11"/>
        <v>876.4463</v>
      </c>
      <c r="N159" s="9"/>
    </row>
    <row r="160" ht="14.25" spans="1:14">
      <c r="A160" s="9">
        <v>1600</v>
      </c>
      <c r="B160" s="3">
        <v>9.02239709976</v>
      </c>
      <c r="C160" s="3">
        <v>5.045220312</v>
      </c>
      <c r="D160" s="3">
        <v>0.144838903</v>
      </c>
      <c r="E160" s="3">
        <v>12.68872698</v>
      </c>
      <c r="F160" s="3">
        <v>87.646</v>
      </c>
      <c r="G160" s="4">
        <v>1.32</v>
      </c>
      <c r="H160">
        <f t="shared" si="8"/>
        <v>11.9095641716832</v>
      </c>
      <c r="I160">
        <f t="shared" si="9"/>
        <v>6.65969081184</v>
      </c>
      <c r="J160">
        <f t="shared" si="10"/>
        <v>14.4838903</v>
      </c>
      <c r="K160" s="7">
        <f t="shared" si="11"/>
        <v>876.46</v>
      </c>
      <c r="N160" s="9"/>
    </row>
    <row r="161" ht="14.25" spans="1:14">
      <c r="A161" s="9">
        <v>1620</v>
      </c>
      <c r="B161" s="3">
        <v>9.131116005</v>
      </c>
      <c r="C161" s="3">
        <v>4.8504982785</v>
      </c>
      <c r="D161" s="3">
        <v>0.144274216</v>
      </c>
      <c r="E161" s="3">
        <v>12.63380882</v>
      </c>
      <c r="F161" s="3">
        <v>87.6333</v>
      </c>
      <c r="G161" s="4">
        <v>1.5</v>
      </c>
      <c r="H161">
        <f t="shared" si="8"/>
        <v>13.6966740075</v>
      </c>
      <c r="I161">
        <f t="shared" si="9"/>
        <v>7.27574741775</v>
      </c>
      <c r="J161">
        <f t="shared" si="10"/>
        <v>14.4274216</v>
      </c>
      <c r="K161" s="7">
        <f t="shared" si="11"/>
        <v>876.333</v>
      </c>
      <c r="N161" s="9"/>
    </row>
    <row r="162" ht="14.25" spans="1:14">
      <c r="A162" s="9">
        <v>1640</v>
      </c>
      <c r="B162" s="3">
        <v>9.22548484286</v>
      </c>
      <c r="C162" s="3">
        <v>4.77709473956</v>
      </c>
      <c r="D162" s="3">
        <v>0.148629838</v>
      </c>
      <c r="E162" s="3">
        <v>12.56557711</v>
      </c>
      <c r="F162" s="3">
        <v>87.64078</v>
      </c>
      <c r="G162" s="4">
        <v>1.43</v>
      </c>
      <c r="H162">
        <f t="shared" si="8"/>
        <v>13.1924433252898</v>
      </c>
      <c r="I162">
        <f t="shared" si="9"/>
        <v>6.8312454775708</v>
      </c>
      <c r="J162">
        <f t="shared" si="10"/>
        <v>14.8629838</v>
      </c>
      <c r="K162" s="7">
        <f t="shared" si="11"/>
        <v>876.4078</v>
      </c>
      <c r="N162" s="9"/>
    </row>
    <row r="163" ht="14.25" spans="1:14">
      <c r="A163" s="9">
        <v>1660</v>
      </c>
      <c r="B163" s="3">
        <v>9.2530569555</v>
      </c>
      <c r="C163" s="3">
        <v>4.8194191314</v>
      </c>
      <c r="D163" s="3">
        <v>0.158580856</v>
      </c>
      <c r="E163" s="3">
        <v>12.49410843</v>
      </c>
      <c r="F163" s="3">
        <v>87.649</v>
      </c>
      <c r="G163" s="4">
        <v>1.45</v>
      </c>
      <c r="H163">
        <f t="shared" si="8"/>
        <v>13.416932585475</v>
      </c>
      <c r="I163">
        <f t="shared" si="9"/>
        <v>6.98815774053</v>
      </c>
      <c r="J163">
        <f t="shared" si="10"/>
        <v>15.8580856</v>
      </c>
      <c r="K163" s="7">
        <f t="shared" si="11"/>
        <v>876.49</v>
      </c>
      <c r="N163" s="9"/>
    </row>
    <row r="164" ht="14.25" spans="1:14">
      <c r="A164" s="9">
        <v>1680</v>
      </c>
      <c r="B164" s="3">
        <v>9.2674585785</v>
      </c>
      <c r="C164" s="3">
        <v>5.0035380675</v>
      </c>
      <c r="D164" s="3">
        <v>0.173704649</v>
      </c>
      <c r="E164" s="3">
        <v>12.43003486</v>
      </c>
      <c r="F164" s="3">
        <v>87.65114</v>
      </c>
      <c r="G164" s="4">
        <v>1.5</v>
      </c>
      <c r="H164">
        <f t="shared" si="8"/>
        <v>13.90118786775</v>
      </c>
      <c r="I164">
        <f t="shared" si="9"/>
        <v>7.50530710125</v>
      </c>
      <c r="J164">
        <f t="shared" si="10"/>
        <v>17.3704649</v>
      </c>
      <c r="K164" s="7">
        <f t="shared" si="11"/>
        <v>876.5114</v>
      </c>
      <c r="N164" s="9"/>
    </row>
    <row r="165" ht="14.25" spans="1:14">
      <c r="A165" s="9">
        <v>1700</v>
      </c>
      <c r="B165" s="3">
        <v>9.2815086728</v>
      </c>
      <c r="C165" s="3">
        <v>5.0534766576</v>
      </c>
      <c r="D165" s="3">
        <v>0.183727811</v>
      </c>
      <c r="E165" s="3">
        <v>12.37486656</v>
      </c>
      <c r="F165" s="3">
        <v>87.64845</v>
      </c>
      <c r="G165" s="4">
        <v>1.4</v>
      </c>
      <c r="H165">
        <f t="shared" si="8"/>
        <v>12.99411214192</v>
      </c>
      <c r="I165">
        <f t="shared" si="9"/>
        <v>7.07486732064</v>
      </c>
      <c r="J165">
        <f t="shared" si="10"/>
        <v>18.3727811</v>
      </c>
      <c r="K165" s="7">
        <f t="shared" si="11"/>
        <v>876.4845</v>
      </c>
      <c r="N165" s="9"/>
    </row>
    <row r="166" ht="14.25" spans="1:14">
      <c r="A166" s="9">
        <v>1720</v>
      </c>
      <c r="B166" s="3">
        <v>9.29866841615</v>
      </c>
      <c r="C166" s="3">
        <v>5.210700250075</v>
      </c>
      <c r="D166" s="3">
        <v>0.197130458</v>
      </c>
      <c r="E166" s="3">
        <v>12.32215863</v>
      </c>
      <c r="F166" s="3">
        <v>87.64837</v>
      </c>
      <c r="G166" s="4">
        <v>1.525</v>
      </c>
      <c r="H166">
        <f t="shared" si="8"/>
        <v>14.1804693346287</v>
      </c>
      <c r="I166">
        <f t="shared" si="9"/>
        <v>7.94631788136437</v>
      </c>
      <c r="J166">
        <f t="shared" si="10"/>
        <v>19.7130458</v>
      </c>
      <c r="K166" s="7">
        <f t="shared" si="11"/>
        <v>876.4837</v>
      </c>
      <c r="N166" s="9"/>
    </row>
    <row r="167" ht="14.25" spans="1:14">
      <c r="A167" s="9">
        <v>1740</v>
      </c>
      <c r="B167" s="3">
        <v>9.3253069484</v>
      </c>
      <c r="C167" s="3">
        <v>5.256054158775</v>
      </c>
      <c r="D167" s="3">
        <v>0.205144819</v>
      </c>
      <c r="E167" s="3">
        <v>12.27239522</v>
      </c>
      <c r="F167" s="3">
        <v>87.6484</v>
      </c>
      <c r="G167" s="4">
        <v>1.525</v>
      </c>
      <c r="H167">
        <f t="shared" si="8"/>
        <v>14.22109309631</v>
      </c>
      <c r="I167">
        <f t="shared" si="9"/>
        <v>8.01548259213187</v>
      </c>
      <c r="J167">
        <f t="shared" si="10"/>
        <v>20.5144819</v>
      </c>
      <c r="K167" s="7">
        <f t="shared" si="11"/>
        <v>876.484</v>
      </c>
      <c r="N167" s="9"/>
    </row>
    <row r="168" ht="14.25" spans="1:14">
      <c r="A168" s="9">
        <v>1760</v>
      </c>
      <c r="B168" s="3">
        <v>9.382809886995</v>
      </c>
      <c r="C168" s="3">
        <v>5.21990130156</v>
      </c>
      <c r="D168" s="3">
        <v>0.208468997</v>
      </c>
      <c r="E168" s="3">
        <v>12.22454034</v>
      </c>
      <c r="F168" s="3">
        <v>87.6487</v>
      </c>
      <c r="G168" s="4">
        <v>1.455</v>
      </c>
      <c r="H168">
        <f t="shared" si="8"/>
        <v>13.6519883855777</v>
      </c>
      <c r="I168">
        <f t="shared" si="9"/>
        <v>7.5949563937698</v>
      </c>
      <c r="J168">
        <f t="shared" si="10"/>
        <v>20.8468997</v>
      </c>
      <c r="K168" s="7">
        <f t="shared" si="11"/>
        <v>876.487</v>
      </c>
      <c r="N168" s="9"/>
    </row>
    <row r="169" ht="14.25" spans="1:14">
      <c r="A169" s="9">
        <v>1780</v>
      </c>
      <c r="B169" s="3">
        <v>9.4451478759</v>
      </c>
      <c r="C169" s="3">
        <v>5.0938641318</v>
      </c>
      <c r="D169" s="3">
        <v>0.207502904</v>
      </c>
      <c r="E169" s="3">
        <v>12.17771291</v>
      </c>
      <c r="F169" s="3">
        <v>87.64889</v>
      </c>
      <c r="G169" s="4">
        <v>1.425</v>
      </c>
      <c r="H169">
        <f t="shared" si="8"/>
        <v>13.4593357231575</v>
      </c>
      <c r="I169">
        <f t="shared" si="9"/>
        <v>7.258756387815</v>
      </c>
      <c r="J169">
        <f t="shared" si="10"/>
        <v>20.7502904</v>
      </c>
      <c r="K169" s="7">
        <f t="shared" si="11"/>
        <v>876.4889</v>
      </c>
      <c r="N169" s="9"/>
    </row>
    <row r="170" ht="14.25" spans="1:14">
      <c r="A170" s="9">
        <v>1800</v>
      </c>
      <c r="B170" s="3">
        <v>9.50483673997</v>
      </c>
      <c r="C170" s="3">
        <v>5.07279303817</v>
      </c>
      <c r="D170" s="3">
        <v>0.210724156</v>
      </c>
      <c r="E170" s="3">
        <v>12.13113411</v>
      </c>
      <c r="F170" s="3">
        <v>87.6492</v>
      </c>
      <c r="G170" s="4">
        <v>1.43</v>
      </c>
      <c r="H170">
        <f t="shared" si="8"/>
        <v>13.5919165381571</v>
      </c>
      <c r="I170">
        <f t="shared" si="9"/>
        <v>7.2540940445831</v>
      </c>
      <c r="J170">
        <f t="shared" si="10"/>
        <v>21.0724156</v>
      </c>
      <c r="K170" s="7">
        <f t="shared" si="11"/>
        <v>876.492</v>
      </c>
      <c r="N170" s="9"/>
    </row>
    <row r="171" ht="14.25" spans="1:14">
      <c r="A171" s="9">
        <v>1820</v>
      </c>
      <c r="B171" s="3">
        <v>9.549256465</v>
      </c>
      <c r="C171" s="3">
        <v>4.9542007536</v>
      </c>
      <c r="D171" s="3">
        <v>0.209796027</v>
      </c>
      <c r="E171" s="3">
        <v>12.08521806</v>
      </c>
      <c r="F171" s="3">
        <v>87.64912</v>
      </c>
      <c r="G171" s="4">
        <v>1.4</v>
      </c>
      <c r="H171">
        <f t="shared" si="8"/>
        <v>13.368959051</v>
      </c>
      <c r="I171">
        <f t="shared" si="9"/>
        <v>6.93588105504</v>
      </c>
      <c r="J171">
        <f t="shared" si="10"/>
        <v>20.9796027</v>
      </c>
      <c r="K171" s="7">
        <f t="shared" si="11"/>
        <v>876.4912</v>
      </c>
      <c r="N171" s="9"/>
    </row>
    <row r="172" ht="14.25" spans="1:14">
      <c r="A172" s="9">
        <v>1840</v>
      </c>
      <c r="B172" s="3">
        <v>9.59755531212</v>
      </c>
      <c r="C172" s="3">
        <v>4.93478039512</v>
      </c>
      <c r="D172" s="3">
        <v>0.212926858</v>
      </c>
      <c r="E172" s="3">
        <v>12.03953812</v>
      </c>
      <c r="F172" s="3">
        <v>87.64903</v>
      </c>
      <c r="G172" s="4">
        <v>1.46</v>
      </c>
      <c r="H172">
        <f t="shared" si="8"/>
        <v>14.0124307556952</v>
      </c>
      <c r="I172">
        <f t="shared" si="9"/>
        <v>7.2047793768752</v>
      </c>
      <c r="J172">
        <f t="shared" si="10"/>
        <v>21.2926858</v>
      </c>
      <c r="K172" s="7">
        <f t="shared" si="11"/>
        <v>876.4903</v>
      </c>
      <c r="N172" s="9"/>
    </row>
    <row r="173" ht="14.25" spans="1:14">
      <c r="A173" s="9">
        <v>1860</v>
      </c>
      <c r="B173" s="3">
        <v>9.63499369584</v>
      </c>
      <c r="C173" s="3">
        <v>4.82491337328</v>
      </c>
      <c r="D173" s="3">
        <v>0.212025096</v>
      </c>
      <c r="E173" s="3">
        <v>11.99445355</v>
      </c>
      <c r="F173" s="3">
        <v>87.6486</v>
      </c>
      <c r="G173" s="4">
        <v>1.52</v>
      </c>
      <c r="H173">
        <f t="shared" si="8"/>
        <v>14.6451904176768</v>
      </c>
      <c r="I173">
        <f t="shared" si="9"/>
        <v>7.3338683273856</v>
      </c>
      <c r="J173">
        <f t="shared" si="10"/>
        <v>21.2025096</v>
      </c>
      <c r="K173" s="7">
        <f t="shared" si="11"/>
        <v>876.486</v>
      </c>
      <c r="N173" s="9"/>
    </row>
    <row r="174" ht="14.25" spans="1:14">
      <c r="A174" s="9">
        <v>1880</v>
      </c>
      <c r="B174" s="3">
        <v>9.6779742696</v>
      </c>
      <c r="C174" s="3">
        <v>4.808718432</v>
      </c>
      <c r="D174" s="3">
        <v>0.215071449</v>
      </c>
      <c r="E174" s="3">
        <v>11.94958586</v>
      </c>
      <c r="F174" s="3">
        <v>87.64819</v>
      </c>
      <c r="G174" s="4">
        <v>1.4</v>
      </c>
      <c r="H174">
        <f t="shared" si="8"/>
        <v>13.54916397744</v>
      </c>
      <c r="I174">
        <f t="shared" si="9"/>
        <v>6.7322058048</v>
      </c>
      <c r="J174">
        <f t="shared" si="10"/>
        <v>21.5071449</v>
      </c>
      <c r="K174" s="7">
        <f t="shared" si="11"/>
        <v>876.4819</v>
      </c>
      <c r="N174" s="9"/>
    </row>
    <row r="175" ht="14.25" spans="1:14">
      <c r="A175" s="9">
        <v>1900</v>
      </c>
      <c r="B175" s="3">
        <v>9.71003455916</v>
      </c>
      <c r="C175" s="3">
        <v>4.70830399808</v>
      </c>
      <c r="D175" s="3">
        <v>0.214195566</v>
      </c>
      <c r="E175" s="3">
        <v>11.9052513</v>
      </c>
      <c r="F175" s="3">
        <v>87.64755</v>
      </c>
      <c r="G175" s="4">
        <v>1.57</v>
      </c>
      <c r="H175">
        <f t="shared" si="8"/>
        <v>15.2447542578812</v>
      </c>
      <c r="I175">
        <f t="shared" si="9"/>
        <v>7.3920372769856</v>
      </c>
      <c r="J175">
        <f t="shared" si="10"/>
        <v>21.4195566</v>
      </c>
      <c r="K175" s="7">
        <f t="shared" si="11"/>
        <v>876.4755</v>
      </c>
      <c r="N175" s="9"/>
    </row>
    <row r="176" ht="14.25" spans="1:14">
      <c r="A176" s="9">
        <v>1920</v>
      </c>
      <c r="B176" s="3">
        <v>9.74632304991</v>
      </c>
      <c r="C176" s="3">
        <v>4.696472838</v>
      </c>
      <c r="D176" s="3">
        <v>0.217158094</v>
      </c>
      <c r="E176" s="3">
        <v>11.86111898</v>
      </c>
      <c r="F176" s="3">
        <v>87.64697</v>
      </c>
      <c r="G176" s="4">
        <v>1.41</v>
      </c>
      <c r="H176">
        <f t="shared" si="8"/>
        <v>13.7423155003731</v>
      </c>
      <c r="I176">
        <f t="shared" si="9"/>
        <v>6.62202670158</v>
      </c>
      <c r="J176">
        <f t="shared" si="10"/>
        <v>21.7158094</v>
      </c>
      <c r="K176" s="7">
        <f t="shared" si="11"/>
        <v>876.4697</v>
      </c>
      <c r="N176" s="9"/>
    </row>
    <row r="177" ht="14.25" spans="1:14">
      <c r="A177" s="9">
        <v>1940</v>
      </c>
      <c r="B177" s="3">
        <v>9.77098589856</v>
      </c>
      <c r="C177" s="3">
        <v>4.60587532464</v>
      </c>
      <c r="D177" s="3">
        <v>0.216307589</v>
      </c>
      <c r="E177" s="3">
        <v>11.81746582</v>
      </c>
      <c r="F177" s="3">
        <v>87.64626</v>
      </c>
      <c r="G177" s="4">
        <v>1.44</v>
      </c>
      <c r="H177">
        <f t="shared" si="8"/>
        <v>14.0702196939264</v>
      </c>
      <c r="I177">
        <f t="shared" si="9"/>
        <v>6.6324604674816</v>
      </c>
      <c r="J177">
        <f t="shared" si="10"/>
        <v>21.6307589</v>
      </c>
      <c r="K177" s="7">
        <f t="shared" si="11"/>
        <v>876.4626</v>
      </c>
      <c r="N177" s="9"/>
    </row>
    <row r="178" ht="14.25" spans="1:14">
      <c r="A178" s="9">
        <v>1960</v>
      </c>
      <c r="B178" s="3">
        <v>9.8003751129</v>
      </c>
      <c r="C178" s="3">
        <v>4.5991714286</v>
      </c>
      <c r="D178" s="3">
        <v>0.219193014</v>
      </c>
      <c r="E178" s="3">
        <v>11.77400172</v>
      </c>
      <c r="F178" s="3">
        <v>87.64563</v>
      </c>
      <c r="G178" s="4">
        <v>1.7</v>
      </c>
      <c r="H178">
        <f t="shared" si="8"/>
        <v>16.66063769193</v>
      </c>
      <c r="I178">
        <f t="shared" si="9"/>
        <v>7.81859142862</v>
      </c>
      <c r="J178">
        <f t="shared" si="10"/>
        <v>21.9193014</v>
      </c>
      <c r="K178" s="7">
        <f t="shared" si="11"/>
        <v>876.4563</v>
      </c>
      <c r="N178" s="9"/>
    </row>
    <row r="179" ht="14.25" spans="1:14">
      <c r="A179" s="9">
        <v>1980</v>
      </c>
      <c r="B179" s="3">
        <v>9.82087822558</v>
      </c>
      <c r="C179" s="3">
        <v>4.51840736128</v>
      </c>
      <c r="D179" s="3">
        <v>0.218369851</v>
      </c>
      <c r="E179" s="3">
        <v>11.73097206</v>
      </c>
      <c r="F179" s="3">
        <v>87.64492</v>
      </c>
      <c r="G179" s="4">
        <v>1.63</v>
      </c>
      <c r="H179">
        <f t="shared" si="8"/>
        <v>16.0080315076954</v>
      </c>
      <c r="I179">
        <f t="shared" si="9"/>
        <v>7.3650039988864</v>
      </c>
      <c r="J179">
        <f t="shared" si="10"/>
        <v>21.8369851</v>
      </c>
      <c r="K179" s="7">
        <f t="shared" si="11"/>
        <v>876.4492</v>
      </c>
      <c r="N179" s="9"/>
    </row>
    <row r="180" ht="14.25" spans="1:14">
      <c r="A180" s="9">
        <v>2000</v>
      </c>
      <c r="B180" s="3">
        <v>9.84999514663</v>
      </c>
      <c r="C180" s="3">
        <v>4.51726368041</v>
      </c>
      <c r="D180" s="3">
        <v>0.221182503</v>
      </c>
      <c r="E180" s="3">
        <v>11.68811969</v>
      </c>
      <c r="F180" s="3">
        <v>87.64431</v>
      </c>
      <c r="G180" s="4">
        <v>1.57</v>
      </c>
      <c r="H180">
        <f t="shared" si="8"/>
        <v>15.4644923802091</v>
      </c>
      <c r="I180">
        <f t="shared" si="9"/>
        <v>7.0921039782437</v>
      </c>
      <c r="J180">
        <f t="shared" si="10"/>
        <v>22.1182503</v>
      </c>
      <c r="K180" s="7">
        <f t="shared" si="11"/>
        <v>876.4431</v>
      </c>
      <c r="N180" s="9"/>
    </row>
    <row r="181" ht="15.75" spans="1:11">
      <c r="A181">
        <v>2020</v>
      </c>
      <c r="B181" s="3">
        <v>9.87449837088</v>
      </c>
      <c r="C181" s="3">
        <v>4.44611855764</v>
      </c>
      <c r="D181" s="3">
        <v>0.220385767</v>
      </c>
      <c r="E181" s="3">
        <v>11.64566311</v>
      </c>
      <c r="F181" s="3">
        <v>87.64365</v>
      </c>
      <c r="G181" s="10">
        <v>1.64</v>
      </c>
      <c r="H181">
        <f t="shared" ref="H181:H205" si="12">B181*G181</f>
        <v>16.1941773282432</v>
      </c>
      <c r="I181">
        <f t="shared" ref="I181:I205" si="13">C181*G181</f>
        <v>7.2916344345296</v>
      </c>
      <c r="J181">
        <f t="shared" ref="J181:J205" si="14">D181*100</f>
        <v>22.0385767</v>
      </c>
      <c r="K181" s="7">
        <f t="shared" si="11"/>
        <v>876.4365</v>
      </c>
    </row>
    <row r="182" ht="15.75" spans="1:11">
      <c r="A182">
        <v>2040</v>
      </c>
      <c r="B182" s="3">
        <v>9.91009154828</v>
      </c>
      <c r="C182" s="3">
        <v>4.45081316064</v>
      </c>
      <c r="D182" s="3">
        <v>0.223128844</v>
      </c>
      <c r="E182" s="3">
        <v>11.6033735</v>
      </c>
      <c r="F182" s="3">
        <v>87.64309</v>
      </c>
      <c r="G182" s="10">
        <v>1.54</v>
      </c>
      <c r="H182">
        <f t="shared" si="12"/>
        <v>15.2615409843512</v>
      </c>
      <c r="I182">
        <f t="shared" si="13"/>
        <v>6.8542522673856</v>
      </c>
      <c r="J182">
        <f t="shared" si="14"/>
        <v>22.3128844</v>
      </c>
      <c r="K182" s="7">
        <f t="shared" si="11"/>
        <v>876.4309</v>
      </c>
    </row>
    <row r="183" ht="15.75" spans="1:11">
      <c r="A183">
        <v>2060</v>
      </c>
      <c r="B183" s="3">
        <v>9.9410317733</v>
      </c>
      <c r="C183" s="3">
        <v>4.38940511695</v>
      </c>
      <c r="D183" s="3">
        <v>0.222356436</v>
      </c>
      <c r="E183" s="3">
        <v>11.56144658</v>
      </c>
      <c r="F183" s="3">
        <v>87.64249</v>
      </c>
      <c r="G183" s="10">
        <v>1.55</v>
      </c>
      <c r="H183">
        <f t="shared" si="12"/>
        <v>15.408599248615</v>
      </c>
      <c r="I183">
        <f t="shared" si="13"/>
        <v>6.8035779312725</v>
      </c>
      <c r="J183">
        <f t="shared" si="14"/>
        <v>22.2356436</v>
      </c>
      <c r="K183" s="7">
        <f t="shared" si="11"/>
        <v>876.4249</v>
      </c>
    </row>
    <row r="184" ht="15.75" spans="1:11">
      <c r="A184">
        <v>2080</v>
      </c>
      <c r="B184" s="3">
        <v>9.97928728202</v>
      </c>
      <c r="C184" s="3">
        <v>4.40093929065</v>
      </c>
      <c r="D184" s="3">
        <v>0.225034293</v>
      </c>
      <c r="E184" s="3">
        <v>11.51967798</v>
      </c>
      <c r="F184" s="3">
        <v>87.64198</v>
      </c>
      <c r="G184" s="10">
        <v>1.61</v>
      </c>
      <c r="H184">
        <f t="shared" si="12"/>
        <v>16.0666525240522</v>
      </c>
      <c r="I184">
        <f t="shared" si="13"/>
        <v>7.0855122579465</v>
      </c>
      <c r="J184">
        <f t="shared" si="14"/>
        <v>22.5034293</v>
      </c>
      <c r="K184" s="7">
        <f t="shared" si="11"/>
        <v>876.4198</v>
      </c>
    </row>
    <row r="185" ht="15.75" spans="1:11">
      <c r="A185">
        <v>2100</v>
      </c>
      <c r="B185" s="3">
        <v>10.00615157113</v>
      </c>
      <c r="C185" s="3">
        <v>4.35000884318</v>
      </c>
      <c r="D185" s="3">
        <v>0.224287207</v>
      </c>
      <c r="E185" s="3">
        <v>11.47823963</v>
      </c>
      <c r="F185" s="3">
        <v>87.64145</v>
      </c>
      <c r="G185" s="10">
        <v>1.43</v>
      </c>
      <c r="H185">
        <f t="shared" si="12"/>
        <v>14.3087967467159</v>
      </c>
      <c r="I185">
        <f t="shared" si="13"/>
        <v>6.2205126457474</v>
      </c>
      <c r="J185">
        <f t="shared" si="14"/>
        <v>22.4287207</v>
      </c>
      <c r="K185" s="7">
        <f t="shared" si="11"/>
        <v>876.4145</v>
      </c>
    </row>
    <row r="186" ht="15.75" spans="1:11">
      <c r="A186">
        <v>2120</v>
      </c>
      <c r="B186" s="3">
        <v>10.0325658525</v>
      </c>
      <c r="C186" s="3">
        <v>4.3695542663</v>
      </c>
      <c r="D186" s="3">
        <v>0.226979167</v>
      </c>
      <c r="E186" s="3">
        <v>11.4369292</v>
      </c>
      <c r="F186" s="3">
        <v>87.64101</v>
      </c>
      <c r="G186" s="10">
        <v>1.7</v>
      </c>
      <c r="H186">
        <f t="shared" si="12"/>
        <v>17.05536194925</v>
      </c>
      <c r="I186">
        <f t="shared" si="13"/>
        <v>7.42824225271</v>
      </c>
      <c r="J186">
        <f t="shared" si="14"/>
        <v>22.6979167</v>
      </c>
      <c r="K186" s="7">
        <f t="shared" si="11"/>
        <v>876.4101</v>
      </c>
    </row>
    <row r="187" ht="15.75" spans="1:11">
      <c r="A187">
        <v>2140</v>
      </c>
      <c r="B187" s="3">
        <v>10.06803643368</v>
      </c>
      <c r="C187" s="3">
        <v>4.34142448343</v>
      </c>
      <c r="D187" s="3">
        <v>0.226468135</v>
      </c>
      <c r="E187" s="3">
        <v>11.39613404</v>
      </c>
      <c r="F187" s="3">
        <v>87.64059</v>
      </c>
      <c r="G187" s="10">
        <v>1.49</v>
      </c>
      <c r="H187">
        <f t="shared" si="12"/>
        <v>15.0013742861832</v>
      </c>
      <c r="I187">
        <f t="shared" si="13"/>
        <v>6.4687224803107</v>
      </c>
      <c r="J187">
        <f t="shared" si="14"/>
        <v>22.6468135</v>
      </c>
      <c r="K187" s="7">
        <f t="shared" si="11"/>
        <v>876.4059</v>
      </c>
    </row>
    <row r="188" ht="15.75" spans="1:11">
      <c r="A188">
        <v>2160</v>
      </c>
      <c r="B188" s="3">
        <v>10.11114666254</v>
      </c>
      <c r="C188" s="3">
        <v>4.26314936874</v>
      </c>
      <c r="D188" s="3">
        <v>0.222649763</v>
      </c>
      <c r="E188" s="3">
        <v>11.35564538</v>
      </c>
      <c r="F188" s="3">
        <v>87.64015</v>
      </c>
      <c r="G188" s="10">
        <v>1.58</v>
      </c>
      <c r="H188">
        <f t="shared" si="12"/>
        <v>15.9756117268132</v>
      </c>
      <c r="I188">
        <f t="shared" si="13"/>
        <v>6.7357760026092</v>
      </c>
      <c r="J188">
        <f t="shared" si="14"/>
        <v>22.2649763</v>
      </c>
      <c r="K188" s="7">
        <f t="shared" si="11"/>
        <v>876.4015</v>
      </c>
    </row>
    <row r="189" ht="15.75" spans="1:11">
      <c r="A189">
        <v>2180</v>
      </c>
      <c r="B189" s="3">
        <v>10.15470856608</v>
      </c>
      <c r="C189" s="3">
        <v>4.2530947836</v>
      </c>
      <c r="D189" s="3">
        <v>0.222288439</v>
      </c>
      <c r="E189" s="3">
        <v>11.31505796</v>
      </c>
      <c r="F189" s="3">
        <v>87.63977</v>
      </c>
      <c r="G189" s="10">
        <v>1.56</v>
      </c>
      <c r="H189">
        <f t="shared" si="12"/>
        <v>15.8413453630848</v>
      </c>
      <c r="I189">
        <f t="shared" si="13"/>
        <v>6.634827862416</v>
      </c>
      <c r="J189">
        <f t="shared" si="14"/>
        <v>22.2288439</v>
      </c>
      <c r="K189" s="7">
        <f t="shared" si="11"/>
        <v>876.3977</v>
      </c>
    </row>
    <row r="190" ht="15.75" spans="1:11">
      <c r="A190">
        <v>2200</v>
      </c>
      <c r="B190" s="3">
        <v>10.18890171745</v>
      </c>
      <c r="C190" s="3">
        <v>4.17555055747</v>
      </c>
      <c r="D190" s="3">
        <v>0.218278706</v>
      </c>
      <c r="E190" s="3">
        <v>11.27456797</v>
      </c>
      <c r="F190" s="3">
        <v>87.63934</v>
      </c>
      <c r="G190" s="10">
        <v>1.73</v>
      </c>
      <c r="H190">
        <f t="shared" si="12"/>
        <v>17.6267999711885</v>
      </c>
      <c r="I190">
        <f t="shared" si="13"/>
        <v>7.2237024644231</v>
      </c>
      <c r="J190">
        <f t="shared" si="14"/>
        <v>21.8278706</v>
      </c>
      <c r="K190" s="7">
        <f t="shared" si="11"/>
        <v>876.3934</v>
      </c>
    </row>
    <row r="191" ht="15.75" spans="1:11">
      <c r="A191">
        <v>2220</v>
      </c>
      <c r="B191" s="3">
        <v>10.23670794275</v>
      </c>
      <c r="C191" s="3">
        <v>4.1693626328</v>
      </c>
      <c r="D191" s="3">
        <v>0.217882436</v>
      </c>
      <c r="E191" s="3">
        <v>11.23394721</v>
      </c>
      <c r="F191" s="3">
        <v>87.63901</v>
      </c>
      <c r="G191" s="10">
        <v>1.55</v>
      </c>
      <c r="H191">
        <f t="shared" si="12"/>
        <v>15.8668973112625</v>
      </c>
      <c r="I191">
        <f t="shared" si="13"/>
        <v>6.46251208084</v>
      </c>
      <c r="J191">
        <f t="shared" si="14"/>
        <v>21.7882436</v>
      </c>
      <c r="K191" s="7">
        <f t="shared" si="11"/>
        <v>876.3901</v>
      </c>
    </row>
    <row r="192" ht="15.75" spans="1:11">
      <c r="A192">
        <v>2240</v>
      </c>
      <c r="B192" s="3">
        <v>10.2904167773</v>
      </c>
      <c r="C192" s="3">
        <v>4.08969180355</v>
      </c>
      <c r="D192" s="3">
        <v>0.213576512</v>
      </c>
      <c r="E192" s="3">
        <v>11.19342376</v>
      </c>
      <c r="F192" s="3">
        <v>87.63858</v>
      </c>
      <c r="G192" s="10">
        <v>1.55</v>
      </c>
      <c r="H192">
        <f t="shared" si="12"/>
        <v>15.950146004815</v>
      </c>
      <c r="I192">
        <f t="shared" si="13"/>
        <v>6.3390222955025</v>
      </c>
      <c r="J192">
        <f t="shared" si="14"/>
        <v>21.3576512</v>
      </c>
      <c r="K192" s="7">
        <f t="shared" si="11"/>
        <v>876.3858</v>
      </c>
    </row>
    <row r="193" ht="15.75" spans="1:11">
      <c r="A193">
        <v>2260</v>
      </c>
      <c r="B193" s="3">
        <v>10.34626692056</v>
      </c>
      <c r="C193" s="3">
        <v>4.0741605152</v>
      </c>
      <c r="D193" s="3">
        <v>0.21314624</v>
      </c>
      <c r="E193" s="3">
        <v>11.15244223</v>
      </c>
      <c r="F193" s="3">
        <v>87.63822</v>
      </c>
      <c r="G193" s="10">
        <v>1.52</v>
      </c>
      <c r="H193">
        <f t="shared" si="12"/>
        <v>15.7263257192512</v>
      </c>
      <c r="I193">
        <f t="shared" si="13"/>
        <v>6.192723983104</v>
      </c>
      <c r="J193">
        <f t="shared" si="14"/>
        <v>21.314624</v>
      </c>
      <c r="K193" s="7">
        <f t="shared" si="11"/>
        <v>876.3822</v>
      </c>
    </row>
    <row r="194" ht="15.75" spans="1:11">
      <c r="A194">
        <v>2280</v>
      </c>
      <c r="B194" s="3">
        <v>10.40230711458</v>
      </c>
      <c r="C194" s="3">
        <v>4.1241611477</v>
      </c>
      <c r="D194" s="3">
        <v>0.216712181</v>
      </c>
      <c r="E194" s="3">
        <v>11.11124892</v>
      </c>
      <c r="F194" s="3">
        <v>87.63802</v>
      </c>
      <c r="G194" s="10">
        <v>1.78</v>
      </c>
      <c r="H194">
        <f t="shared" si="12"/>
        <v>18.5161066639524</v>
      </c>
      <c r="I194">
        <f t="shared" si="13"/>
        <v>7.341006842906</v>
      </c>
      <c r="J194">
        <f t="shared" si="14"/>
        <v>21.6712181</v>
      </c>
      <c r="K194" s="7">
        <f t="shared" si="11"/>
        <v>876.3802</v>
      </c>
    </row>
    <row r="195" ht="14.25" spans="1:11">
      <c r="A195">
        <v>2300</v>
      </c>
      <c r="B195" s="3">
        <v>10.4649042438608</v>
      </c>
      <c r="C195" s="3">
        <v>4.09845491167087</v>
      </c>
      <c r="D195" s="3">
        <v>0.21633125</v>
      </c>
      <c r="E195" s="3">
        <v>11.07039202</v>
      </c>
      <c r="F195" s="3">
        <v>87.63775</v>
      </c>
      <c r="G195" s="11">
        <v>1.587857143</v>
      </c>
      <c r="H195">
        <f t="shared" si="12"/>
        <v>16.6167729544254</v>
      </c>
      <c r="I195">
        <f t="shared" si="13"/>
        <v>6.50776090676003</v>
      </c>
      <c r="J195">
        <f t="shared" si="14"/>
        <v>21.633125</v>
      </c>
      <c r="K195" s="7">
        <f t="shared" ref="K195:K205" si="15">F195*10</f>
        <v>876.3775</v>
      </c>
    </row>
    <row r="196" ht="14.25" spans="1:11">
      <c r="A196">
        <v>2320</v>
      </c>
      <c r="B196" s="3">
        <v>10.5457391674624</v>
      </c>
      <c r="C196" s="3">
        <v>4.14449223656144</v>
      </c>
      <c r="D196" s="3">
        <v>0.219816421</v>
      </c>
      <c r="E196" s="3">
        <v>11.02958524</v>
      </c>
      <c r="F196" s="3">
        <v>87.63763</v>
      </c>
      <c r="G196" s="11">
        <v>1.587857143</v>
      </c>
      <c r="H196">
        <f t="shared" si="12"/>
        <v>16.74512726527</v>
      </c>
      <c r="I196">
        <f t="shared" si="13"/>
        <v>6.58086160193214</v>
      </c>
      <c r="J196">
        <f t="shared" si="14"/>
        <v>21.9816421</v>
      </c>
      <c r="K196" s="7">
        <f t="shared" si="15"/>
        <v>876.3763</v>
      </c>
    </row>
    <row r="197" ht="14.25" spans="1:11">
      <c r="A197">
        <v>2340</v>
      </c>
      <c r="B197" s="3">
        <v>10.6259220518189</v>
      </c>
      <c r="C197" s="3">
        <v>4.11825788949623</v>
      </c>
      <c r="D197" s="3">
        <v>0.219521059</v>
      </c>
      <c r="E197" s="3">
        <v>10.98907255</v>
      </c>
      <c r="F197" s="3">
        <v>87.63747</v>
      </c>
      <c r="G197" s="11">
        <v>1.587857143</v>
      </c>
      <c r="H197">
        <f t="shared" si="12"/>
        <v>16.8724462309418</v>
      </c>
      <c r="I197">
        <f t="shared" si="13"/>
        <v>6.53920520655269</v>
      </c>
      <c r="J197">
        <f t="shared" si="14"/>
        <v>21.9521059</v>
      </c>
      <c r="K197" s="7">
        <f t="shared" si="15"/>
        <v>876.3747</v>
      </c>
    </row>
    <row r="198" ht="14.25" spans="1:11">
      <c r="A198">
        <v>2360</v>
      </c>
      <c r="B198" s="3">
        <v>10.7221945131775</v>
      </c>
      <c r="C198" s="3">
        <v>4.16098587715864</v>
      </c>
      <c r="D198" s="3">
        <v>0.222939154</v>
      </c>
      <c r="E198" s="3">
        <v>10.94861293</v>
      </c>
      <c r="F198" s="3">
        <v>87.63742</v>
      </c>
      <c r="G198" s="11">
        <v>1.587857143</v>
      </c>
      <c r="H198">
        <f t="shared" si="12"/>
        <v>17.0253131463843</v>
      </c>
      <c r="I198">
        <f t="shared" si="13"/>
        <v>6.60705114696847</v>
      </c>
      <c r="J198">
        <f t="shared" si="14"/>
        <v>22.2939154</v>
      </c>
      <c r="K198" s="7">
        <f t="shared" si="15"/>
        <v>876.3742</v>
      </c>
    </row>
    <row r="199" ht="14.25" spans="1:11">
      <c r="A199">
        <v>2380</v>
      </c>
      <c r="B199" s="3">
        <v>10.8193307513555</v>
      </c>
      <c r="C199" s="3">
        <v>4.13893669756452</v>
      </c>
      <c r="D199" s="3">
        <v>0.222821058</v>
      </c>
      <c r="E199" s="3">
        <v>10.90840748</v>
      </c>
      <c r="F199" s="3">
        <v>87.63734</v>
      </c>
      <c r="G199" s="11">
        <v>1.587857143</v>
      </c>
      <c r="H199">
        <f t="shared" si="12"/>
        <v>17.1795516160195</v>
      </c>
      <c r="I199">
        <f t="shared" si="13"/>
        <v>6.57204019965265</v>
      </c>
      <c r="J199">
        <f t="shared" si="14"/>
        <v>22.2821058</v>
      </c>
      <c r="K199" s="7">
        <f t="shared" si="15"/>
        <v>876.3734</v>
      </c>
    </row>
    <row r="200" ht="14.25" spans="1:11">
      <c r="A200">
        <v>2400</v>
      </c>
      <c r="B200" s="3">
        <v>10.9081624744457</v>
      </c>
      <c r="C200" s="3">
        <v>4.17616647740001</v>
      </c>
      <c r="D200" s="3">
        <v>0.226290941</v>
      </c>
      <c r="E200" s="3">
        <v>10.8679918</v>
      </c>
      <c r="F200" s="3">
        <v>87.63731</v>
      </c>
      <c r="G200" s="11">
        <v>1.587857143</v>
      </c>
      <c r="H200">
        <f t="shared" si="12"/>
        <v>17.3206037020531</v>
      </c>
      <c r="I200">
        <f t="shared" si="13"/>
        <v>6.63115577149675</v>
      </c>
      <c r="J200">
        <f t="shared" si="14"/>
        <v>22.6290941</v>
      </c>
      <c r="K200" s="7">
        <f t="shared" si="15"/>
        <v>876.3731</v>
      </c>
    </row>
    <row r="201" ht="14.25" spans="1:11">
      <c r="A201">
        <v>2420</v>
      </c>
      <c r="B201" s="3">
        <v>10.9625018977056</v>
      </c>
      <c r="C201" s="3">
        <v>4.25951043123608</v>
      </c>
      <c r="D201" s="3">
        <v>0.233031463</v>
      </c>
      <c r="E201" s="3">
        <v>10.82729988</v>
      </c>
      <c r="F201" s="3">
        <v>87.6373</v>
      </c>
      <c r="G201" s="11">
        <v>1.587857143</v>
      </c>
      <c r="H201">
        <f t="shared" si="12"/>
        <v>17.4068869434228</v>
      </c>
      <c r="I201">
        <f t="shared" si="13"/>
        <v>6.76349406392122</v>
      </c>
      <c r="J201">
        <f t="shared" si="14"/>
        <v>23.3031463</v>
      </c>
      <c r="K201" s="7">
        <f t="shared" si="15"/>
        <v>876.373</v>
      </c>
    </row>
    <row r="202" ht="14.25" spans="1:11">
      <c r="A202">
        <v>2440</v>
      </c>
      <c r="B202" s="3">
        <v>11.0104170796163</v>
      </c>
      <c r="C202" s="3">
        <v>4.38537791230955</v>
      </c>
      <c r="D202" s="3">
        <v>0.242229754</v>
      </c>
      <c r="E202" s="3">
        <v>10.7867486</v>
      </c>
      <c r="F202" s="3">
        <v>87.63726</v>
      </c>
      <c r="G202" s="11">
        <v>1.587857143</v>
      </c>
      <c r="H202">
        <f t="shared" si="12"/>
        <v>17.4829694072779</v>
      </c>
      <c r="I202">
        <f t="shared" si="13"/>
        <v>6.96335364281514</v>
      </c>
      <c r="J202">
        <f t="shared" si="14"/>
        <v>24.2229754</v>
      </c>
      <c r="K202" s="7">
        <f t="shared" si="15"/>
        <v>876.3726</v>
      </c>
    </row>
    <row r="203" ht="14.25" spans="1:11">
      <c r="A203">
        <v>2460</v>
      </c>
      <c r="B203" s="3">
        <v>11.0420969001849</v>
      </c>
      <c r="C203" s="3">
        <v>4.46540241585532</v>
      </c>
      <c r="D203" s="3">
        <v>0.248265104</v>
      </c>
      <c r="E203" s="3">
        <v>10.74692574</v>
      </c>
      <c r="F203" s="3">
        <v>87.63718</v>
      </c>
      <c r="G203" s="11">
        <v>1.587857143</v>
      </c>
      <c r="H203">
        <f t="shared" si="12"/>
        <v>17.5332724366567</v>
      </c>
      <c r="I203">
        <f t="shared" si="13"/>
        <v>7.09042112238532</v>
      </c>
      <c r="J203">
        <f t="shared" si="14"/>
        <v>24.8265104</v>
      </c>
      <c r="K203" s="7">
        <f t="shared" si="15"/>
        <v>876.3718</v>
      </c>
    </row>
    <row r="204" ht="14.25" spans="1:11">
      <c r="A204">
        <v>2480</v>
      </c>
      <c r="B204" s="3">
        <v>11.0649282153355</v>
      </c>
      <c r="C204" s="3">
        <v>4.51558713627126</v>
      </c>
      <c r="D204" s="3">
        <v>0.251692949</v>
      </c>
      <c r="E204" s="3">
        <v>10.70788471</v>
      </c>
      <c r="F204" s="3">
        <v>87.63699</v>
      </c>
      <c r="G204" s="11">
        <v>1.587857143</v>
      </c>
      <c r="H204">
        <f t="shared" si="12"/>
        <v>17.5695253035027</v>
      </c>
      <c r="I204">
        <f t="shared" si="13"/>
        <v>7.17010728916723</v>
      </c>
      <c r="J204">
        <f t="shared" si="14"/>
        <v>25.1692949</v>
      </c>
      <c r="K204" s="7">
        <f t="shared" si="15"/>
        <v>876.3699</v>
      </c>
    </row>
    <row r="205" ht="14.25" spans="1:11">
      <c r="A205">
        <v>2500</v>
      </c>
      <c r="B205" s="3">
        <v>11.0676366629607</v>
      </c>
      <c r="C205" s="3">
        <v>4.536520161856</v>
      </c>
      <c r="D205" s="3">
        <v>0.252859728</v>
      </c>
      <c r="E205" s="3">
        <v>10.66935116</v>
      </c>
      <c r="F205" s="3">
        <v>87.63658</v>
      </c>
      <c r="G205" s="11">
        <v>1.587857143</v>
      </c>
      <c r="H205">
        <f t="shared" si="12"/>
        <v>17.5738259314109</v>
      </c>
      <c r="I205">
        <f t="shared" si="13"/>
        <v>7.20334594336657</v>
      </c>
      <c r="J205">
        <f t="shared" si="14"/>
        <v>25.2859728</v>
      </c>
      <c r="K205" s="7">
        <f t="shared" si="15"/>
        <v>876.3658</v>
      </c>
    </row>
  </sheetData>
  <sortState ref="F2:F130">
    <sortCondition ref="F2:F130" descending="1"/>
  </sortState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InNitrogenConcentration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朱寄子星</cp:lastModifiedBy>
  <dcterms:created xsi:type="dcterms:W3CDTF">2025-04-17T07:25:00Z</dcterms:created>
  <dcterms:modified xsi:type="dcterms:W3CDTF">2025-09-13T05:26:00Z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1E0CC9E09D16422DA6D9E7CCB2973A65_13</vt:lpwstr>
  </property>
  <property fmtid="{D5CDD505-2E9C-101B-9397-08002B2CF9AE}" pid="3" name="KSOProductBuildVer">
    <vt:lpwstr>2052-12.1.0.22529</vt:lpwstr>
  </property>
</Properties>
</file>